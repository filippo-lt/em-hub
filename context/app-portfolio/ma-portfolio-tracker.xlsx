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heet" sheetId="2" state="visible" r:id="rId4"/>
    <sheet name="History" sheetId="3" state="visible" r:id="rId5"/>
    <sheet name="Trends" sheetId="4" state="visible" r:id="rId6"/>
    <sheet name="Column spec &amp; leg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<sst xmlns="http://schemas.openxmlformats.org/spreadsheetml/2006/main" count="258" uniqueCount="78">
  <si>
    <t xml:space="preserve">M&amp;A Portfolio Tracker</t>
  </si>
  <si>
    <t xml:space="preserve">Owner: Filippo  ·  Cadence: refreshed weekly, reviewed monthly with David  ·  v1.5 (numbers derive from History; sample data loaded)</t>
  </si>
  <si>
    <t xml:space="preserve">The heartbeat: one row per app, latest values pulled from History. Scan for red flags, down-arrows, and due decision dates.</t>
  </si>
  <si>
    <t xml:space="preserve">App</t>
  </si>
  <si>
    <t xml:space="preserve">Posture</t>
  </si>
  <si>
    <t xml:space="preserve">Studio</t>
  </si>
  <si>
    <t xml:space="preserve">Cost/mo (€)</t>
  </si>
  <si>
    <t xml:space="preserve">MRR (€)</t>
  </si>
  <si>
    <t xml:space="preserve">Δ</t>
  </si>
  <si>
    <t xml:space="preserve">MAU</t>
  </si>
  <si>
    <t xml:space="preserve">Crash-free %</t>
  </si>
  <si>
    <t xml:space="preserve">Release health</t>
  </si>
  <si>
    <t xml:space="preserve">Next decision</t>
  </si>
  <si>
    <t xml:space="preserve">Flag</t>
  </si>
  <si>
    <t xml:space="preserve">ChatUltra</t>
  </si>
  <si>
    <t xml:space="preserve">Govern-in-place</t>
  </si>
  <si>
    <t xml:space="preserve">Helikanon</t>
  </si>
  <si>
    <t xml:space="preserve">🟢</t>
  </si>
  <si>
    <t xml:space="preserve">Standing: fund takeover when ready</t>
  </si>
  <si>
    <t xml:space="preserve">PDF Editor</t>
  </si>
  <si>
    <t xml:space="preserve">TurboCat</t>
  </si>
  <si>
    <t xml:space="preserve">🟡</t>
  </si>
  <si>
    <t xml:space="preserve">Business case by [date]</t>
  </si>
  <si>
    <t xml:space="preserve">Step Counter</t>
  </si>
  <si>
    <t xml:space="preserve">—</t>
  </si>
  <si>
    <t xml:space="preserve">Truth Seeker</t>
  </si>
  <si>
    <t xml:space="preserve">Sunset</t>
  </si>
  <si>
    <t xml:space="preserve">n/a</t>
  </si>
  <si>
    <t xml:space="preserve">Sunset sign-off by [date]</t>
  </si>
  <si>
    <t xml:space="preserve">🔴</t>
  </si>
  <si>
    <t xml:space="preserve">Music Player</t>
  </si>
  <si>
    <t xml:space="preserve">Numbers (Cost/MRR/MAU/Crash-free) auto-pull the latest row from History; Δ compares to the prior period. Posture, Studio, Release health, Next decision, Flag are manual judgment fields. Truth Seeker shows — (no History yet, pre-launch).</t>
  </si>
  <si>
    <t xml:space="preserve">⚠ SAMPLE DATA — illustrative only. Clear the rows below and let the weekly refresh repopulate with real numbers.</t>
  </si>
  <si>
    <t xml:space="preserve">Append-only log — one row per app per weekly run. Everything time-based (Tracker deltas, Trends charts) reads from here.</t>
  </si>
  <si>
    <t xml:space="preserve">Date</t>
  </si>
  <si>
    <t xml:space="preserve">Trends</t>
  </si>
  <si>
    <t xml:space="preserve">Pivoted from History (date × app). On sample data — extends automatically as History grows under the v2 script.</t>
  </si>
  <si>
    <t xml:space="preserve">MRR (€) by app</t>
  </si>
  <si>
    <t xml:space="preserve">Crash-free % by app</t>
  </si>
  <si>
    <t xml:space="preserve">Column spec</t>
  </si>
  <si>
    <t xml:space="preserve">Time-varying numbers auto-pull the latest row from History. You only touch the judgment fields — Posture, Studio, Release health, Next decision, Flag.</t>
  </si>
  <si>
    <t xml:space="preserve">Column</t>
  </si>
  <si>
    <t xml:space="preserve">Source</t>
  </si>
  <si>
    <t xml:space="preserve">Auto?</t>
  </si>
  <si>
    <t xml:space="preserve">Judgment (rarely changes)</t>
  </si>
  <si>
    <t xml:space="preserve">No</t>
  </si>
  <si>
    <t xml:space="preserve">Inventory (rarely changes)</t>
  </si>
  <si>
    <t xml:space="preserve">Cost/mo</t>
  </si>
  <si>
    <t xml:space="preserve">Latest from History (GCP + studio contract)</t>
  </si>
  <si>
    <t xml:space="preserve">From History</t>
  </si>
  <si>
    <t xml:space="preserve">MRR</t>
  </si>
  <si>
    <t xml:space="preserve">Latest from History (RevenueCat)</t>
  </si>
  <si>
    <t xml:space="preserve">MRR Δ</t>
  </si>
  <si>
    <t xml:space="preserve">MRR latest ÷ prior − 1</t>
  </si>
  <si>
    <t xml:space="preserve">Derived</t>
  </si>
  <si>
    <t xml:space="preserve">Latest from History (Amplitude)</t>
  </si>
  <si>
    <t xml:space="preserve">Latest from History (Crashlytics)</t>
  </si>
  <si>
    <t xml:space="preserve">From History ★</t>
  </si>
  <si>
    <t xml:space="preserve">Crash-free Δ</t>
  </si>
  <si>
    <t xml:space="preserve">Crash-free latest − prior (points)</t>
  </si>
  <si>
    <t xml:space="preserve">Gate-bounces (CI) + help read (studio call)</t>
  </si>
  <si>
    <t xml:space="preserve">Judgment</t>
  </si>
  <si>
    <t xml:space="preserve">The app's scorecard trigger</t>
  </si>
  <si>
    <t xml:space="preserve">Floor + decision-date proximity</t>
  </si>
  <si>
    <t xml:space="preserve">Partly</t>
  </si>
  <si>
    <t xml:space="preserve">History note: the Tracker is a live snapshot; History is the append-only memory behind it (one row per app per weekly run). Deltas read the latest two entries; the Trends sheet charts the full series. Sample data is loaded — clear History to reset.</t>
  </si>
  <si>
    <t xml:space="preserve">Release health: automated floor (crash-free + smoke + secret scan + consent) stays a blocking CI gate — infrastructure, not a column. The column tracks delivery autonomy: 🟢 clean &amp; alone · 🟡 friction / multiple attempts · 🔴 heavy help to get live.</t>
  </si>
  <si>
    <t xml:space="preserve">Flag legend</t>
  </si>
  <si>
    <t xml:space="preserve">On track</t>
  </si>
  <si>
    <t xml:space="preserve">Watch / decision due soon</t>
  </si>
  <si>
    <t xml:space="preserve">Action needed (floor failing, trigger overdue, sunset pending)</t>
  </si>
  <si>
    <t xml:space="preserve">Posture legend</t>
  </si>
  <si>
    <t xml:space="preserve">Studio delivers, we govern</t>
  </si>
  <si>
    <t xml:space="preserve">Remediate</t>
  </si>
  <si>
    <t xml:space="preserve">Time-boxed internal SE fix</t>
  </si>
  <si>
    <t xml:space="preserve">Rebuild</t>
  </si>
  <si>
    <t xml:space="preserve">Greenfield / new-app track, internal SE</t>
  </si>
  <si>
    <t xml:space="preserve">Wind down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</si>
</sst>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▲ &quot;0.0%;&quot;▼ &quot;0.0%;\—"/>
    <numFmt numFmtId="167" formatCode="0.0%"/>
    <numFmt numFmtId="168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i val="true"/>
      <sz val="9.5"/>
      <color rgb="FF6B6B6B"/>
      <name val="Arial"/>
      <family val="0"/>
      <charset val="1"/>
    </font>
    <font>
      <sz val="9.5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sz val="9.5"/>
      <color rgb="FF1A1A1A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9.5"/>
      <color rgb="FF1A1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A1A1A"/>
      <name val="Arial"/>
      <family val="0"/>
      <charset val="1"/>
    </font>
    <font>
      <b val="true"/>
      <sz val="11"/>
      <color rgb="FF38761D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B000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2CC"/>
        <bgColor rgb="FFFCE8B2"/>
      </patternFill>
    </fill>
    <fill>
      <patternFill patternType="solid">
        <fgColor rgb="FFF2F5F9"/>
        <bgColor rgb="FFFFFFFF"/>
      </patternFill>
    </fill>
    <fill>
      <patternFill patternType="solid">
        <fgColor rgb="FFD9EAD3"/>
        <bgColor rgb="FFD6DCE4"/>
      </patternFill>
    </fill>
    <fill>
      <patternFill patternType="solid">
        <fgColor rgb="FFFCE8B2"/>
        <bgColor rgb="FFFFF2CC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38761D"/>
        <sz val="10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CE8B2"/>
        </patternFill>
      </fill>
    </dxf>
    <dxf>
      <font>
        <name val="Arial"/>
        <charset val="1"/>
        <family val="0"/>
        <b val="1"/>
        <color rgb="FFB00020"/>
        <sz val="10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38761D"/>
        <sz val="10"/>
      </font>
    </dxf>
    <dxf>
      <font>
        <name val="Arial"/>
        <charset val="1"/>
        <family val="0"/>
        <b val="1"/>
        <color rgb="FFB0002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38761D"/>
      <rgbColor rgb="FF000080"/>
      <rgbColor rgb="FF9C6500"/>
      <rgbColor rgb="FF800080"/>
      <rgbColor rgb="FF008080"/>
      <rgbColor rgb="FFD9D9D9"/>
      <rgbColor rgb="FF878787"/>
      <rgbColor rgb="FF9999FF"/>
      <rgbColor rgb="FFBE4B48"/>
      <rgbColor rgb="FFFFF2CC"/>
      <rgbColor rgb="FFF2F5F9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CCC"/>
      <rgbColor rgb="FF4A7EBB"/>
      <rgbColor rgb="FF33CCCC"/>
      <rgbColor rgb="FF98B855"/>
      <rgbColor rgb="FFFFCC00"/>
      <rgbColor rgb="FFFF9900"/>
      <rgbColor rgb="FFFF6600"/>
      <rgbColor rgb="FF7D5FA0"/>
      <rgbColor rgb="FF6B6B6B"/>
      <rgbColor rgb="FF1F3A5F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MRR (€) by app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Trends!B5</c:f>
              <c:strCache>
                <c:ptCount val="1"/>
                <c:pt idx="0">
                  <c:v>ChatUltra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Trends!$A$6:$A$13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Trends!$B$6:$B$13</c:f>
              <c:numCache>
                <c:formatCode>#,##0</c:formatCode>
                <c:ptCount val="8"/>
                <c:pt idx="0">
                  <c:v>4000</c:v>
                </c:pt>
                <c:pt idx="1">
                  <c:v>4040</c:v>
                </c:pt>
                <c:pt idx="2">
                  <c:v>4090</c:v>
                </c:pt>
                <c:pt idx="3">
                  <c:v>4120</c:v>
                </c:pt>
                <c:pt idx="4">
                  <c:v>4160</c:v>
                </c:pt>
                <c:pt idx="5">
                  <c:v>4190</c:v>
                </c:pt>
                <c:pt idx="6">
                  <c:v>4230</c:v>
                </c:pt>
                <c:pt idx="7">
                  <c:v>4255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Trends!C5</c:f>
              <c:strCache>
                <c:ptCount val="1"/>
                <c:pt idx="0">
                  <c:v>PDF Editor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Trends!$A$6:$A$13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Trends!$C$6:$C$13</c:f>
              <c:numCache>
                <c:formatCode>#,##0</c:formatCode>
                <c:ptCount val="8"/>
                <c:pt idx="0">
                  <c:v>1500</c:v>
                </c:pt>
                <c:pt idx="1">
                  <c:v>1505</c:v>
                </c:pt>
                <c:pt idx="2">
                  <c:v>1495</c:v>
                </c:pt>
                <c:pt idx="3">
                  <c:v>1500</c:v>
                </c:pt>
                <c:pt idx="4">
                  <c:v>1490</c:v>
                </c:pt>
                <c:pt idx="5">
                  <c:v>1485</c:v>
                </c:pt>
                <c:pt idx="6">
                  <c:v>1480</c:v>
                </c:pt>
                <c:pt idx="7">
                  <c:v>1475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Trends!D5</c:f>
              <c:strCache>
                <c:ptCount val="1"/>
                <c:pt idx="0">
                  <c:v>Step Counter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Trends!$A$6:$A$13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Trends!$D$6:$D$13</c:f>
              <c:numCache>
                <c:formatCode>#,##0</c:formatCode>
                <c:ptCount val="8"/>
                <c:pt idx="0">
                  <c:v>400</c:v>
                </c:pt>
                <c:pt idx="1">
                  <c:v>402</c:v>
                </c:pt>
                <c:pt idx="2">
                  <c:v>405</c:v>
                </c:pt>
                <c:pt idx="3">
                  <c:v>403</c:v>
                </c:pt>
                <c:pt idx="4">
                  <c:v>406</c:v>
                </c:pt>
                <c:pt idx="5">
                  <c:v>408</c:v>
                </c:pt>
                <c:pt idx="6">
                  <c:v>407</c:v>
                </c:pt>
                <c:pt idx="7">
                  <c:v>410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Trends!E5</c:f>
              <c:strCache>
                <c:ptCount val="1"/>
                <c:pt idx="0">
                  <c:v>Music Player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Trends!$A$6:$A$13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Trends!$E$6:$E$13</c:f>
              <c:numCache>
                <c:formatCode>#,##0</c:formatCode>
                <c:ptCount val="8"/>
                <c:pt idx="0">
                  <c:v>620</c:v>
                </c:pt>
                <c:pt idx="1">
                  <c:v>600</c:v>
                </c:pt>
                <c:pt idx="2">
                  <c:v>580</c:v>
                </c:pt>
                <c:pt idx="3">
                  <c:v>540</c:v>
                </c:pt>
                <c:pt idx="4">
                  <c:v>500</c:v>
                </c:pt>
                <c:pt idx="5">
                  <c:v>470</c:v>
                </c:pt>
                <c:pt idx="6">
                  <c:v>440</c:v>
                </c:pt>
                <c:pt idx="7">
                  <c:v>410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446"/>
        <c:axId val="62899361"/>
      </c:lineChart>
      <c:catAx>
        <c:axId val="23444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899361"/>
        <c:crosses val="autoZero"/>
        <c:auto val="1"/>
        <c:lblAlgn val="ctr"/>
        <c:lblOffset val="100"/>
        <c:noMultiLvlLbl val="0"/>
      </c:catAx>
      <c:valAx>
        <c:axId val="62899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44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Crash-free % by app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Trends!B18</c:f>
              <c:strCache>
                <c:ptCount val="1"/>
                <c:pt idx="0">
                  <c:v>ChatUltra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Trends!$A$19:$A$26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Trends!$B$19:$B$26</c:f>
              <c:numCache>
                <c:formatCode>0.0%</c:formatCode>
                <c:ptCount val="8"/>
                <c:pt idx="0">
                  <c:v>0.991</c:v>
                </c:pt>
                <c:pt idx="1">
                  <c:v>0.99</c:v>
                </c:pt>
                <c:pt idx="2">
                  <c:v>0.989</c:v>
                </c:pt>
                <c:pt idx="3">
                  <c:v>0.988</c:v>
                </c:pt>
                <c:pt idx="4">
                  <c:v>0.99</c:v>
                </c:pt>
                <c:pt idx="5">
                  <c:v>0.989</c:v>
                </c:pt>
                <c:pt idx="6">
                  <c:v>0.988</c:v>
                </c:pt>
                <c:pt idx="7">
                  <c:v>0.989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Trends!C18</c:f>
              <c:strCache>
                <c:ptCount val="1"/>
                <c:pt idx="0">
                  <c:v>PDF Editor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Trends!$A$19:$A$26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Trends!$C$19:$C$26</c:f>
              <c:numCache>
                <c:formatCode>0.0%</c:formatCode>
                <c:ptCount val="8"/>
                <c:pt idx="0">
                  <c:v>0.965</c:v>
                </c:pt>
                <c:pt idx="1">
                  <c:v>0.963</c:v>
                </c:pt>
                <c:pt idx="2">
                  <c:v>0.961</c:v>
                </c:pt>
                <c:pt idx="3">
                  <c:v>0.958</c:v>
                </c:pt>
                <c:pt idx="4">
                  <c:v>0.957</c:v>
                </c:pt>
                <c:pt idx="5">
                  <c:v>0.954</c:v>
                </c:pt>
                <c:pt idx="6">
                  <c:v>0.952</c:v>
                </c:pt>
                <c:pt idx="7">
                  <c:v>0.949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Trends!D18</c:f>
              <c:strCache>
                <c:ptCount val="1"/>
                <c:pt idx="0">
                  <c:v>Step Counter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Trends!$A$19:$A$26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Trends!$D$19:$D$26</c:f>
              <c:numCache>
                <c:formatCode>0.0%</c:formatCode>
                <c:ptCount val="8"/>
                <c:pt idx="0">
                  <c:v>0.993</c:v>
                </c:pt>
                <c:pt idx="1">
                  <c:v>0.992</c:v>
                </c:pt>
                <c:pt idx="2">
                  <c:v>0.993</c:v>
                </c:pt>
                <c:pt idx="3">
                  <c:v>0.994</c:v>
                </c:pt>
                <c:pt idx="4">
                  <c:v>0.993</c:v>
                </c:pt>
                <c:pt idx="5">
                  <c:v>0.992</c:v>
                </c:pt>
                <c:pt idx="6">
                  <c:v>0.993</c:v>
                </c:pt>
                <c:pt idx="7">
                  <c:v>0.993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Trends!E18</c:f>
              <c:strCache>
                <c:ptCount val="1"/>
                <c:pt idx="0">
                  <c:v>Music Player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Trends!$A$19:$A$26</c:f>
              <c:strCache>
                <c:ptCount val="8"/>
                <c:pt idx="0">
                  <c:v>2026-04-20</c:v>
                </c:pt>
                <c:pt idx="1">
                  <c:v>2026-04-27</c:v>
                </c:pt>
                <c:pt idx="2">
                  <c:v>2026-05-04</c:v>
                </c:pt>
                <c:pt idx="3">
                  <c:v>2026-05-11</c:v>
                </c:pt>
                <c:pt idx="4">
                  <c:v>2026-05-18</c:v>
                </c:pt>
                <c:pt idx="5">
                  <c:v>2026-05-25</c:v>
                </c:pt>
                <c:pt idx="6">
                  <c:v>2026-06-01</c:v>
                </c:pt>
                <c:pt idx="7">
                  <c:v>2026-06-08</c:v>
                </c:pt>
              </c:strCache>
            </c:strRef>
          </c:cat>
          <c:val>
            <c:numRef>
              <c:f>Trends!$E$19:$E$26</c:f>
              <c:numCache>
                <c:formatCode>0.0%</c:formatCode>
                <c:ptCount val="8"/>
                <c:pt idx="0">
                  <c:v>0.975</c:v>
                </c:pt>
                <c:pt idx="1">
                  <c:v>0.974</c:v>
                </c:pt>
                <c:pt idx="2">
                  <c:v>0.972</c:v>
                </c:pt>
                <c:pt idx="3">
                  <c:v>0.97</c:v>
                </c:pt>
                <c:pt idx="4">
                  <c:v>0.969</c:v>
                </c:pt>
                <c:pt idx="5">
                  <c:v>0.967</c:v>
                </c:pt>
                <c:pt idx="6">
                  <c:v>0.966</c:v>
                </c:pt>
                <c:pt idx="7">
                  <c:v>0.964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6989"/>
        <c:axId val="78411656"/>
      </c:lineChart>
      <c:catAx>
        <c:axId val="226989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411656"/>
        <c:crosses val="autoZero"/>
        <c:auto val="1"/>
        <c:lblAlgn val="ctr"/>
        <c:lblOffset val="100"/>
        <c:noMultiLvlLbl val="0"/>
      </c:catAx>
      <c:valAx>
        <c:axId val="78411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9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16</xdr:row>
      <xdr:rowOff>42840</xdr:rowOff>
    </xdr:to>
    <xdr:graphicFrame>
      <xdr:nvGraphicFramePr>
        <xdr:cNvPr id="1" name="Chart 1"/>
        <xdr:cNvGraphicFramePr/>
      </xdr:nvGraphicFramePr>
      <xdr:xfrm>
        <a:off x="5734080" y="60120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15</xdr:col>
      <xdr:colOff>507600</xdr:colOff>
      <xdr:row>29</xdr:row>
      <xdr:rowOff>43200</xdr:rowOff>
    </xdr:to>
    <xdr:graphicFrame>
      <xdr:nvGraphicFramePr>
        <xdr:cNvPr id="2" name="Chart 2"/>
        <xdr:cNvGraphicFramePr/>
      </xdr:nvGraphicFramePr>
      <xdr:xfrm>
        <a:off x="5734080" y="307800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6"/>
    <col collapsed="false" customWidth="true" hidden="true" outlineLevel="0" max="15" min="14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8</v>
      </c>
      <c r="J5" s="4" t="s">
        <v>11</v>
      </c>
      <c r="K5" s="4" t="s">
        <v>12</v>
      </c>
      <c r="L5" s="4" t="s">
        <v>13</v>
      </c>
    </row>
    <row r="6" customFormat="false" ht="25.5" hidden="false" customHeight="true" outlineLevel="0" collapsed="false">
      <c r="A6" s="5" t="s">
        <v>14</v>
      </c>
      <c r="B6" s="6" t="s">
        <v>15</v>
      </c>
      <c r="C6" s="6" t="s">
        <v>16</v>
      </c>
      <c r="D6" s="7" t="n">
        <f aca="false">IF($N6="","—",SUMIFS(History!$D:$D,History!$B:$B,$A6,History!$A:$A,$N6))</f>
        <v>820</v>
      </c>
      <c r="E6" s="7" t="n">
        <f aca="false">IF($N6="","—",SUMIFS(History!$E:$E,History!$B:$B,$A6,History!$A:$A,$N6))</f>
        <v>4255</v>
      </c>
      <c r="F6" s="8" t="n">
        <f aca="false">IF($O6="","—",IFERROR(SUMIFS(History!$E:$E,History!$B:$B,$A6,History!$A:$A,$N6)/SUMIFS(History!$E:$E,History!$B:$B,$A6,History!$A:$A,$O6)-1,"—"))</f>
        <v>0.00591016548463363</v>
      </c>
      <c r="G6" s="7" t="n">
        <f aca="false">IF($N6="","—",SUMIFS(History!$F:$F,History!$B:$B,$A6,History!$A:$A,$N6))</f>
        <v>55200</v>
      </c>
      <c r="H6" s="9" t="n">
        <f aca="false">IF($N6="","—",SUMIFS(History!$G:$G,History!$B:$B,$A6,History!$A:$A,$N6))</f>
        <v>0.989</v>
      </c>
      <c r="I6" s="8" t="n">
        <f aca="false">IF($O6="","—",SUMIFS(History!$G:$G,History!$B:$B,$A6,History!$A:$A,$N6)-SUMIFS(History!$G:$G,History!$B:$B,$A6,History!$A:$A,$O6))</f>
        <v>0.001</v>
      </c>
      <c r="J6" s="10" t="s">
        <v>17</v>
      </c>
      <c r="K6" s="6" t="s">
        <v>18</v>
      </c>
      <c r="L6" s="10" t="s">
        <v>17</v>
      </c>
      <c r="N6" s="0" t="n">
        <f aca="false">IF(COUNTIF(History!$B:$B,$A6)=0,"",IFERROR(_xlfn.MAXIFS(History!$A:$A,History!$B:$B,$A6),""))</f>
        <v>46181</v>
      </c>
      <c r="O6" s="0" t="n">
        <f aca="false">IF($N6="","",IFERROR(_xlfn.MAXIFS(History!$A:$A,History!$B:$B,$A6,History!$A:$A,"&lt;"&amp;$N6),""))</f>
        <v>46174</v>
      </c>
    </row>
    <row r="7" customFormat="false" ht="25.5" hidden="false" customHeight="true" outlineLevel="0" collapsed="false">
      <c r="A7" s="5" t="s">
        <v>19</v>
      </c>
      <c r="B7" s="6" t="s">
        <v>15</v>
      </c>
      <c r="C7" s="6" t="s">
        <v>20</v>
      </c>
      <c r="D7" s="7" t="n">
        <f aca="false">IF($N7="","—",SUMIFS(History!$D:$D,History!$B:$B,$A7,History!$A:$A,$N7))</f>
        <v>315</v>
      </c>
      <c r="E7" s="7" t="n">
        <f aca="false">IF($N7="","—",SUMIFS(History!$E:$E,History!$B:$B,$A7,History!$A:$A,$N7))</f>
        <v>1475</v>
      </c>
      <c r="F7" s="8" t="n">
        <f aca="false">IF($O7="","—",IFERROR(SUMIFS(History!$E:$E,History!$B:$B,$A7,History!$A:$A,$N7)/SUMIFS(History!$E:$E,History!$B:$B,$A7,History!$A:$A,$O7)-1,"—"))</f>
        <v>-0.0033783783783784</v>
      </c>
      <c r="G7" s="7" t="n">
        <f aca="false">IF($N7="","—",SUMIFS(History!$F:$F,History!$B:$B,$A7,History!$A:$A,$N7))</f>
        <v>19400</v>
      </c>
      <c r="H7" s="9" t="n">
        <f aca="false">IF($N7="","—",SUMIFS(History!$G:$G,History!$B:$B,$A7,History!$A:$A,$N7))</f>
        <v>0.949</v>
      </c>
      <c r="I7" s="8" t="n">
        <f aca="false">IF($O7="","—",SUMIFS(History!$G:$G,History!$B:$B,$A7,History!$A:$A,$N7)-SUMIFS(History!$G:$G,History!$B:$B,$A7,History!$A:$A,$O7))</f>
        <v>-0.003</v>
      </c>
      <c r="J7" s="10" t="s">
        <v>21</v>
      </c>
      <c r="K7" s="6" t="s">
        <v>22</v>
      </c>
      <c r="L7" s="10" t="s">
        <v>21</v>
      </c>
      <c r="N7" s="0" t="n">
        <f aca="false">IF(COUNTIF(History!$B:$B,$A7)=0,"",IFERROR(_xlfn.MAXIFS(History!$A:$A,History!$B:$B,$A7),""))</f>
        <v>46181</v>
      </c>
      <c r="O7" s="0" t="n">
        <f aca="false">IF($N7="","",IFERROR(_xlfn.MAXIFS(History!$A:$A,History!$B:$B,$A7,History!$A:$A,"&lt;"&amp;$N7),""))</f>
        <v>46174</v>
      </c>
    </row>
    <row r="8" customFormat="false" ht="25.5" hidden="false" customHeight="true" outlineLevel="0" collapsed="false">
      <c r="A8" s="5" t="s">
        <v>23</v>
      </c>
      <c r="B8" s="6" t="s">
        <v>15</v>
      </c>
      <c r="C8" s="6" t="s">
        <v>16</v>
      </c>
      <c r="D8" s="7" t="n">
        <f aca="false">IF($N8="","—",SUMIFS(History!$D:$D,History!$B:$B,$A8,History!$A:$A,$N8))</f>
        <v>96</v>
      </c>
      <c r="E8" s="7" t="n">
        <f aca="false">IF($N8="","—",SUMIFS(History!$E:$E,History!$B:$B,$A8,History!$A:$A,$N8))</f>
        <v>410</v>
      </c>
      <c r="F8" s="8" t="n">
        <f aca="false">IF($O8="","—",IFERROR(SUMIFS(History!$E:$E,History!$B:$B,$A8,History!$A:$A,$N8)/SUMIFS(History!$E:$E,History!$B:$B,$A8,History!$A:$A,$O8)-1,"—"))</f>
        <v>0.00737100737100738</v>
      </c>
      <c r="G8" s="7" t="n">
        <f aca="false">IF($N8="","—",SUMIFS(History!$F:$F,History!$B:$B,$A8,History!$A:$A,$N8))</f>
        <v>8220</v>
      </c>
      <c r="H8" s="9" t="n">
        <f aca="false">IF($N8="","—",SUMIFS(History!$G:$G,History!$B:$B,$A8,History!$A:$A,$N8))</f>
        <v>0.993</v>
      </c>
      <c r="I8" s="8" t="n">
        <f aca="false">IF($O8="","—",SUMIFS(History!$G:$G,History!$B:$B,$A8,History!$A:$A,$N8)-SUMIFS(History!$G:$G,History!$B:$B,$A8,History!$A:$A,$O8))</f>
        <v>0</v>
      </c>
      <c r="J8" s="10" t="s">
        <v>17</v>
      </c>
      <c r="K8" s="6" t="s">
        <v>24</v>
      </c>
      <c r="L8" s="10" t="s">
        <v>17</v>
      </c>
      <c r="N8" s="0" t="n">
        <f aca="false">IF(COUNTIF(History!$B:$B,$A8)=0,"",IFERROR(_xlfn.MAXIFS(History!$A:$A,History!$B:$B,$A8),""))</f>
        <v>46181</v>
      </c>
      <c r="O8" s="0" t="n">
        <f aca="false">IF($N8="","",IFERROR(_xlfn.MAXIFS(History!$A:$A,History!$B:$B,$A8,History!$A:$A,"&lt;"&amp;$N8),""))</f>
        <v>46174</v>
      </c>
    </row>
    <row r="9" customFormat="false" ht="25.5" hidden="false" customHeight="true" outlineLevel="0" collapsed="false">
      <c r="A9" s="5" t="s">
        <v>25</v>
      </c>
      <c r="B9" s="6" t="s">
        <v>26</v>
      </c>
      <c r="C9" s="6" t="s">
        <v>16</v>
      </c>
      <c r="D9" s="7" t="str">
        <f aca="false">IF($N9="","—",SUMIFS(History!$D:$D,History!$B:$B,$A9,History!$A:$A,$N9))</f>
        <v>—</v>
      </c>
      <c r="E9" s="7" t="str">
        <f aca="false">IF($N9="","—",SUMIFS(History!$E:$E,History!$B:$B,$A9,History!$A:$A,$N9))</f>
        <v>—</v>
      </c>
      <c r="F9" s="8" t="str">
        <f aca="false">IF($O9="","—",IFERROR(SUMIFS(History!$E:$E,History!$B:$B,$A9,History!$A:$A,$N9)/SUMIFS(History!$E:$E,History!$B:$B,$A9,History!$A:$A,$O9)-1,"—"))</f>
        <v>—</v>
      </c>
      <c r="G9" s="7" t="str">
        <f aca="false">IF($N9="","—",SUMIFS(History!$F:$F,History!$B:$B,$A9,History!$A:$A,$N9))</f>
        <v>—</v>
      </c>
      <c r="H9" s="9" t="str">
        <f aca="false">IF($N9="","—",SUMIFS(History!$G:$G,History!$B:$B,$A9,History!$A:$A,$N9))</f>
        <v>—</v>
      </c>
      <c r="I9" s="8" t="str">
        <f aca="false">IF($O9="","—",SUMIFS(History!$G:$G,History!$B:$B,$A9,History!$A:$A,$N9)-SUMIFS(History!$G:$G,History!$B:$B,$A9,History!$A:$A,$O9))</f>
        <v>—</v>
      </c>
      <c r="J9" s="10" t="s">
        <v>27</v>
      </c>
      <c r="K9" s="6" t="s">
        <v>28</v>
      </c>
      <c r="L9" s="10" t="s">
        <v>29</v>
      </c>
      <c r="N9" s="0" t="str">
        <f aca="false">IF(COUNTIF(History!$B:$B,$A9)=0,"",IFERROR(_xlfn.MAXIFS(History!$A:$A,History!$B:$B,$A9),""))</f>
        <v/>
      </c>
      <c r="O9" s="0" t="str">
        <f aca="false">IF($N9="","",IFERROR(_xlfn.MAXIFS(History!$A:$A,History!$B:$B,$A9,History!$A:$A,"&lt;"&amp;$N9),""))</f>
        <v/>
      </c>
    </row>
    <row r="10" customFormat="false" ht="25.5" hidden="false" customHeight="true" outlineLevel="0" collapsed="false">
      <c r="A10" s="5" t="s">
        <v>30</v>
      </c>
      <c r="B10" s="6" t="s">
        <v>26</v>
      </c>
      <c r="C10" s="6" t="s">
        <v>16</v>
      </c>
      <c r="D10" s="7" t="n">
        <f aca="false">IF($N10="","—",SUMIFS(History!$D:$D,History!$B:$B,$A10,History!$A:$A,$N10))</f>
        <v>104</v>
      </c>
      <c r="E10" s="7" t="n">
        <f aca="false">IF($N10="","—",SUMIFS(History!$E:$E,History!$B:$B,$A10,History!$A:$A,$N10))</f>
        <v>410</v>
      </c>
      <c r="F10" s="8" t="n">
        <f aca="false">IF($O10="","—",IFERROR(SUMIFS(History!$E:$E,History!$B:$B,$A10,History!$A:$A,$N10)/SUMIFS(History!$E:$E,History!$B:$B,$A10,History!$A:$A,$O10)-1,"—"))</f>
        <v>-0.0681818181818182</v>
      </c>
      <c r="G10" s="7" t="n">
        <f aca="false">IF($N10="","—",SUMIFS(History!$F:$F,History!$B:$B,$A10,History!$A:$A,$N10))</f>
        <v>8800</v>
      </c>
      <c r="H10" s="9" t="n">
        <f aca="false">IF($N10="","—",SUMIFS(History!$G:$G,History!$B:$B,$A10,History!$A:$A,$N10))</f>
        <v>0.964</v>
      </c>
      <c r="I10" s="8" t="n">
        <f aca="false">IF($O10="","—",SUMIFS(History!$G:$G,History!$B:$B,$A10,History!$A:$A,$N10)-SUMIFS(History!$G:$G,History!$B:$B,$A10,History!$A:$A,$O10))</f>
        <v>-0.002</v>
      </c>
      <c r="J10" s="10" t="s">
        <v>27</v>
      </c>
      <c r="K10" s="6" t="s">
        <v>28</v>
      </c>
      <c r="L10" s="10" t="s">
        <v>29</v>
      </c>
      <c r="N10" s="0" t="n">
        <f aca="false">IF(COUNTIF(History!$B:$B,$A10)=0,"",IFERROR(_xlfn.MAXIFS(History!$A:$A,History!$B:$B,$A10),""))</f>
        <v>46181</v>
      </c>
      <c r="O10" s="0" t="n">
        <f aca="false">IF($N10="","",IFERROR(_xlfn.MAXIFS(History!$A:$A,History!$B:$B,$A10,History!$A:$A,"&lt;"&amp;$N10),""))</f>
        <v>46174</v>
      </c>
    </row>
    <row r="12" customFormat="false" ht="15" hidden="false" customHeight="false" outlineLevel="0" collapsed="false">
      <c r="A12" s="11" t="s">
        <v>31</v>
      </c>
    </row>
  </sheetData>
  <conditionalFormatting sqref="L6:L10">
    <cfRule type="expression" priority="2" aboveAverage="0" equalAverage="0" bottom="0" percent="0" rank="0" text="" dxfId="0">
      <formula>$L6="🟢"</formula>
    </cfRule>
    <cfRule type="expression" priority="3" aboveAverage="0" equalAverage="0" bottom="0" percent="0" rank="0" text="" dxfId="1">
      <formula>$L6="🟡"</formula>
    </cfRule>
    <cfRule type="expression" priority="4" aboveAverage="0" equalAverage="0" bottom="0" percent="0" rank="0" text="" dxfId="2">
      <formula>$L6="🔴"</formula>
    </cfRule>
  </conditionalFormatting>
  <conditionalFormatting sqref="J6:J10">
    <cfRule type="expression" priority="5" aboveAverage="0" equalAverage="0" bottom="0" percent="0" rank="0" text="" dxfId="0">
      <formula>$J6="🟢"</formula>
    </cfRule>
    <cfRule type="expression" priority="6" aboveAverage="0" equalAverage="0" bottom="0" percent="0" rank="0" text="" dxfId="1">
      <formula>$J6="🟡"</formula>
    </cfRule>
    <cfRule type="expression" priority="7" aboveAverage="0" equalAverage="0" bottom="0" percent="0" rank="0" text="" dxfId="2">
      <formula>$J6="🔴"</formula>
    </cfRule>
  </conditionalFormatting>
  <conditionalFormatting sqref="F6:F10">
    <cfRule type="cellIs" priority="8" operator="greaterThan" aboveAverage="0" equalAverage="0" bottom="0" percent="0" rank="0" text="" dxfId="3">
      <formula>0</formula>
    </cfRule>
    <cfRule type="cellIs" priority="9" operator="lessThan" aboveAverage="0" equalAverage="0" bottom="0" percent="0" rank="0" text="" dxfId="4">
      <formula>0</formula>
    </cfRule>
  </conditionalFormatting>
  <conditionalFormatting sqref="I6:I10">
    <cfRule type="cellIs" priority="10" operator="greaterThan" aboveAverage="0" equalAverage="0" bottom="0" percent="0" rank="0" text="" dxfId="3">
      <formula>0</formula>
    </cfRule>
    <cfRule type="cellIs" priority="11" operator="lessThan" aboveAverage="0" equalAverage="0" bottom="0" percent="0" rank="0" text="" dxfId="4">
      <formula>0</formula>
    </cfRule>
  </conditionalFormatting>
  <dataValidations count="3">
    <dataValidation allowBlank="false" errorStyle="stop" operator="between" showDropDown="false" showErrorMessage="false" showInputMessage="false" sqref="B6:B10" type="list">
      <formula1>"Govern-in-place,Remediate,Rebuild,Sunset"</formula1>
      <formula2>0</formula2>
    </dataValidation>
    <dataValidation allowBlank="false" errorStyle="stop" operator="between" showDropDown="false" showErrorMessage="false" showInputMessage="false" sqref="L6:L10" type="list">
      <formula1>"🟢,🟡,🔴"</formula1>
      <formula2>0</formula2>
    </dataValidation>
    <dataValidation allowBlank="true" errorStyle="stop" operator="between" showDropDown="false" showErrorMessage="false" showInputMessage="false" sqref="J6:J8" type="list">
      <formula1>"🟢,🟡,🔴"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7"/>
  </cols>
  <sheetData>
    <row r="1" customFormat="false" ht="15" hidden="false" customHeight="false" outlineLevel="0" collapsed="false">
      <c r="A1" s="12" t="s">
        <v>32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false" outlineLevel="0" collapsed="false">
      <c r="A2" s="11" t="s">
        <v>33</v>
      </c>
    </row>
    <row r="4" customFormat="false" ht="15" hidden="false" customHeight="false" outlineLevel="0" collapsed="false">
      <c r="A4" s="4" t="s">
        <v>34</v>
      </c>
      <c r="B4" s="4" t="s">
        <v>3</v>
      </c>
      <c r="C4" s="4" t="s">
        <v>4</v>
      </c>
      <c r="D4" s="4" t="s">
        <v>6</v>
      </c>
      <c r="E4" s="4" t="s">
        <v>7</v>
      </c>
      <c r="F4" s="4" t="s">
        <v>9</v>
      </c>
      <c r="G4" s="4" t="s">
        <v>10</v>
      </c>
      <c r="H4" s="4" t="s">
        <v>11</v>
      </c>
      <c r="I4" s="4" t="s">
        <v>13</v>
      </c>
    </row>
    <row r="5" customFormat="false" ht="15" hidden="false" customHeight="false" outlineLevel="0" collapsed="false">
      <c r="A5" s="13" t="n">
        <v>46132</v>
      </c>
      <c r="B5" s="14" t="s">
        <v>14</v>
      </c>
      <c r="C5" s="15" t="s">
        <v>15</v>
      </c>
      <c r="D5" s="16" t="n">
        <v>780</v>
      </c>
      <c r="E5" s="16" t="n">
        <v>4000</v>
      </c>
      <c r="F5" s="16" t="n">
        <v>51000</v>
      </c>
      <c r="G5" s="17" t="n">
        <v>0.991</v>
      </c>
      <c r="H5" s="15" t="s">
        <v>17</v>
      </c>
      <c r="I5" s="15" t="s">
        <v>17</v>
      </c>
    </row>
    <row r="6" customFormat="false" ht="15" hidden="false" customHeight="false" outlineLevel="0" collapsed="false">
      <c r="A6" s="13" t="n">
        <v>46132</v>
      </c>
      <c r="B6" s="14" t="s">
        <v>19</v>
      </c>
      <c r="C6" s="15" t="s">
        <v>15</v>
      </c>
      <c r="D6" s="16" t="n">
        <v>300</v>
      </c>
      <c r="E6" s="16" t="n">
        <v>1500</v>
      </c>
      <c r="F6" s="16" t="n">
        <v>20000</v>
      </c>
      <c r="G6" s="17" t="n">
        <v>0.965</v>
      </c>
      <c r="H6" s="15" t="s">
        <v>21</v>
      </c>
      <c r="I6" s="15" t="s">
        <v>21</v>
      </c>
    </row>
    <row r="7" customFormat="false" ht="15" hidden="false" customHeight="false" outlineLevel="0" collapsed="false">
      <c r="A7" s="13" t="n">
        <v>46132</v>
      </c>
      <c r="B7" s="14" t="s">
        <v>23</v>
      </c>
      <c r="C7" s="15" t="s">
        <v>15</v>
      </c>
      <c r="D7" s="16" t="n">
        <v>90</v>
      </c>
      <c r="E7" s="16" t="n">
        <v>400</v>
      </c>
      <c r="F7" s="16" t="n">
        <v>8000</v>
      </c>
      <c r="G7" s="17" t="n">
        <v>0.993</v>
      </c>
      <c r="H7" s="15" t="s">
        <v>17</v>
      </c>
      <c r="I7" s="15" t="s">
        <v>17</v>
      </c>
    </row>
    <row r="8" customFormat="false" ht="15" hidden="false" customHeight="false" outlineLevel="0" collapsed="false">
      <c r="A8" s="13" t="n">
        <v>46132</v>
      </c>
      <c r="B8" s="14" t="s">
        <v>30</v>
      </c>
      <c r="C8" s="15" t="s">
        <v>26</v>
      </c>
      <c r="D8" s="16" t="n">
        <v>110</v>
      </c>
      <c r="E8" s="16" t="n">
        <v>620</v>
      </c>
      <c r="F8" s="16" t="n">
        <v>12000</v>
      </c>
      <c r="G8" s="17" t="n">
        <v>0.975</v>
      </c>
      <c r="H8" s="15" t="s">
        <v>27</v>
      </c>
      <c r="I8" s="15" t="s">
        <v>29</v>
      </c>
    </row>
    <row r="9" customFormat="false" ht="15" hidden="false" customHeight="false" outlineLevel="0" collapsed="false">
      <c r="A9" s="13" t="n">
        <v>46139</v>
      </c>
      <c r="B9" s="14" t="s">
        <v>14</v>
      </c>
      <c r="C9" s="15" t="s">
        <v>15</v>
      </c>
      <c r="D9" s="16" t="n">
        <v>785</v>
      </c>
      <c r="E9" s="16" t="n">
        <v>4040</v>
      </c>
      <c r="F9" s="16" t="n">
        <v>51500</v>
      </c>
      <c r="G9" s="17" t="n">
        <v>0.99</v>
      </c>
      <c r="H9" s="15" t="s">
        <v>17</v>
      </c>
      <c r="I9" s="15" t="s">
        <v>17</v>
      </c>
    </row>
    <row r="10" customFormat="false" ht="15" hidden="false" customHeight="false" outlineLevel="0" collapsed="false">
      <c r="A10" s="13" t="n">
        <v>46139</v>
      </c>
      <c r="B10" s="14" t="s">
        <v>19</v>
      </c>
      <c r="C10" s="15" t="s">
        <v>15</v>
      </c>
      <c r="D10" s="16" t="n">
        <v>300</v>
      </c>
      <c r="E10" s="16" t="n">
        <v>1505</v>
      </c>
      <c r="F10" s="16" t="n">
        <v>20100</v>
      </c>
      <c r="G10" s="17" t="n">
        <v>0.963</v>
      </c>
      <c r="H10" s="15" t="s">
        <v>21</v>
      </c>
      <c r="I10" s="15" t="s">
        <v>21</v>
      </c>
    </row>
    <row r="11" customFormat="false" ht="15" hidden="false" customHeight="false" outlineLevel="0" collapsed="false">
      <c r="A11" s="13" t="n">
        <v>46139</v>
      </c>
      <c r="B11" s="14" t="s">
        <v>23</v>
      </c>
      <c r="C11" s="15" t="s">
        <v>15</v>
      </c>
      <c r="D11" s="16" t="n">
        <v>90</v>
      </c>
      <c r="E11" s="16" t="n">
        <v>402</v>
      </c>
      <c r="F11" s="16" t="n">
        <v>8050</v>
      </c>
      <c r="G11" s="17" t="n">
        <v>0.992</v>
      </c>
      <c r="H11" s="15" t="s">
        <v>17</v>
      </c>
      <c r="I11" s="15" t="s">
        <v>17</v>
      </c>
    </row>
    <row r="12" customFormat="false" ht="15" hidden="false" customHeight="false" outlineLevel="0" collapsed="false">
      <c r="A12" s="13" t="n">
        <v>46139</v>
      </c>
      <c r="B12" s="14" t="s">
        <v>30</v>
      </c>
      <c r="C12" s="15" t="s">
        <v>26</v>
      </c>
      <c r="D12" s="16" t="n">
        <v>110</v>
      </c>
      <c r="E12" s="16" t="n">
        <v>600</v>
      </c>
      <c r="F12" s="16" t="n">
        <v>11500</v>
      </c>
      <c r="G12" s="17" t="n">
        <v>0.974</v>
      </c>
      <c r="H12" s="15" t="s">
        <v>27</v>
      </c>
      <c r="I12" s="15" t="s">
        <v>29</v>
      </c>
    </row>
    <row r="13" customFormat="false" ht="15" hidden="false" customHeight="false" outlineLevel="0" collapsed="false">
      <c r="A13" s="13" t="n">
        <v>46146</v>
      </c>
      <c r="B13" s="14" t="s">
        <v>14</v>
      </c>
      <c r="C13" s="15" t="s">
        <v>15</v>
      </c>
      <c r="D13" s="16" t="n">
        <v>790</v>
      </c>
      <c r="E13" s="16" t="n">
        <v>4090</v>
      </c>
      <c r="F13" s="16" t="n">
        <v>52200</v>
      </c>
      <c r="G13" s="17" t="n">
        <v>0.989</v>
      </c>
      <c r="H13" s="15" t="s">
        <v>17</v>
      </c>
      <c r="I13" s="15" t="s">
        <v>17</v>
      </c>
    </row>
    <row r="14" customFormat="false" ht="15" hidden="false" customHeight="false" outlineLevel="0" collapsed="false">
      <c r="A14" s="13" t="n">
        <v>46146</v>
      </c>
      <c r="B14" s="14" t="s">
        <v>19</v>
      </c>
      <c r="C14" s="15" t="s">
        <v>15</v>
      </c>
      <c r="D14" s="16" t="n">
        <v>305</v>
      </c>
      <c r="E14" s="16" t="n">
        <v>1495</v>
      </c>
      <c r="F14" s="16" t="n">
        <v>19900</v>
      </c>
      <c r="G14" s="17" t="n">
        <v>0.961</v>
      </c>
      <c r="H14" s="15" t="s">
        <v>21</v>
      </c>
      <c r="I14" s="15" t="s">
        <v>21</v>
      </c>
    </row>
    <row r="15" customFormat="false" ht="15" hidden="false" customHeight="false" outlineLevel="0" collapsed="false">
      <c r="A15" s="13" t="n">
        <v>46146</v>
      </c>
      <c r="B15" s="14" t="s">
        <v>23</v>
      </c>
      <c r="C15" s="15" t="s">
        <v>15</v>
      </c>
      <c r="D15" s="16" t="n">
        <v>92</v>
      </c>
      <c r="E15" s="16" t="n">
        <v>405</v>
      </c>
      <c r="F15" s="16" t="n">
        <v>8100</v>
      </c>
      <c r="G15" s="17" t="n">
        <v>0.993</v>
      </c>
      <c r="H15" s="15" t="s">
        <v>17</v>
      </c>
      <c r="I15" s="15" t="s">
        <v>17</v>
      </c>
    </row>
    <row r="16" customFormat="false" ht="15" hidden="false" customHeight="false" outlineLevel="0" collapsed="false">
      <c r="A16" s="13" t="n">
        <v>46146</v>
      </c>
      <c r="B16" s="14" t="s">
        <v>30</v>
      </c>
      <c r="C16" s="15" t="s">
        <v>26</v>
      </c>
      <c r="D16" s="16" t="n">
        <v>108</v>
      </c>
      <c r="E16" s="16" t="n">
        <v>580</v>
      </c>
      <c r="F16" s="16" t="n">
        <v>11000</v>
      </c>
      <c r="G16" s="17" t="n">
        <v>0.972</v>
      </c>
      <c r="H16" s="15" t="s">
        <v>27</v>
      </c>
      <c r="I16" s="15" t="s">
        <v>29</v>
      </c>
    </row>
    <row r="17" customFormat="false" ht="15" hidden="false" customHeight="false" outlineLevel="0" collapsed="false">
      <c r="A17" s="13" t="n">
        <v>46153</v>
      </c>
      <c r="B17" s="14" t="s">
        <v>14</v>
      </c>
      <c r="C17" s="15" t="s">
        <v>15</v>
      </c>
      <c r="D17" s="16" t="n">
        <v>800</v>
      </c>
      <c r="E17" s="16" t="n">
        <v>4120</v>
      </c>
      <c r="F17" s="16" t="n">
        <v>52800</v>
      </c>
      <c r="G17" s="17" t="n">
        <v>0.988</v>
      </c>
      <c r="H17" s="15" t="s">
        <v>17</v>
      </c>
      <c r="I17" s="15" t="s">
        <v>17</v>
      </c>
    </row>
    <row r="18" customFormat="false" ht="15" hidden="false" customHeight="false" outlineLevel="0" collapsed="false">
      <c r="A18" s="13" t="n">
        <v>46153</v>
      </c>
      <c r="B18" s="14" t="s">
        <v>19</v>
      </c>
      <c r="C18" s="15" t="s">
        <v>15</v>
      </c>
      <c r="D18" s="16" t="n">
        <v>305</v>
      </c>
      <c r="E18" s="16" t="n">
        <v>1500</v>
      </c>
      <c r="F18" s="16" t="n">
        <v>19850</v>
      </c>
      <c r="G18" s="17" t="n">
        <v>0.958</v>
      </c>
      <c r="H18" s="15" t="s">
        <v>21</v>
      </c>
      <c r="I18" s="15" t="s">
        <v>21</v>
      </c>
    </row>
    <row r="19" customFormat="false" ht="15" hidden="false" customHeight="false" outlineLevel="0" collapsed="false">
      <c r="A19" s="13" t="n">
        <v>46153</v>
      </c>
      <c r="B19" s="14" t="s">
        <v>23</v>
      </c>
      <c r="C19" s="15" t="s">
        <v>15</v>
      </c>
      <c r="D19" s="16" t="n">
        <v>92</v>
      </c>
      <c r="E19" s="16" t="n">
        <v>403</v>
      </c>
      <c r="F19" s="16" t="n">
        <v>8080</v>
      </c>
      <c r="G19" s="17" t="n">
        <v>0.994</v>
      </c>
      <c r="H19" s="15" t="s">
        <v>17</v>
      </c>
      <c r="I19" s="15" t="s">
        <v>17</v>
      </c>
    </row>
    <row r="20" customFormat="false" ht="15" hidden="false" customHeight="false" outlineLevel="0" collapsed="false">
      <c r="A20" s="13" t="n">
        <v>46153</v>
      </c>
      <c r="B20" s="14" t="s">
        <v>30</v>
      </c>
      <c r="C20" s="15" t="s">
        <v>26</v>
      </c>
      <c r="D20" s="16" t="n">
        <v>108</v>
      </c>
      <c r="E20" s="16" t="n">
        <v>540</v>
      </c>
      <c r="F20" s="16" t="n">
        <v>10400</v>
      </c>
      <c r="G20" s="17" t="n">
        <v>0.97</v>
      </c>
      <c r="H20" s="15" t="s">
        <v>27</v>
      </c>
      <c r="I20" s="15" t="s">
        <v>29</v>
      </c>
    </row>
    <row r="21" customFormat="false" ht="15" hidden="false" customHeight="false" outlineLevel="0" collapsed="false">
      <c r="A21" s="13" t="n">
        <v>46160</v>
      </c>
      <c r="B21" s="14" t="s">
        <v>14</v>
      </c>
      <c r="C21" s="15" t="s">
        <v>15</v>
      </c>
      <c r="D21" s="16" t="n">
        <v>805</v>
      </c>
      <c r="E21" s="16" t="n">
        <v>4160</v>
      </c>
      <c r="F21" s="16" t="n">
        <v>53500</v>
      </c>
      <c r="G21" s="17" t="n">
        <v>0.99</v>
      </c>
      <c r="H21" s="15" t="s">
        <v>17</v>
      </c>
      <c r="I21" s="15" t="s">
        <v>17</v>
      </c>
    </row>
    <row r="22" customFormat="false" ht="15" hidden="false" customHeight="false" outlineLevel="0" collapsed="false">
      <c r="A22" s="13" t="n">
        <v>46160</v>
      </c>
      <c r="B22" s="14" t="s">
        <v>19</v>
      </c>
      <c r="C22" s="15" t="s">
        <v>15</v>
      </c>
      <c r="D22" s="16" t="n">
        <v>310</v>
      </c>
      <c r="E22" s="16" t="n">
        <v>1490</v>
      </c>
      <c r="F22" s="16" t="n">
        <v>19700</v>
      </c>
      <c r="G22" s="17" t="n">
        <v>0.957</v>
      </c>
      <c r="H22" s="15" t="s">
        <v>21</v>
      </c>
      <c r="I22" s="15" t="s">
        <v>21</v>
      </c>
    </row>
    <row r="23" customFormat="false" ht="15" hidden="false" customHeight="false" outlineLevel="0" collapsed="false">
      <c r="A23" s="13" t="n">
        <v>46160</v>
      </c>
      <c r="B23" s="14" t="s">
        <v>23</v>
      </c>
      <c r="C23" s="15" t="s">
        <v>15</v>
      </c>
      <c r="D23" s="16" t="n">
        <v>95</v>
      </c>
      <c r="E23" s="16" t="n">
        <v>406</v>
      </c>
      <c r="F23" s="16" t="n">
        <v>8150</v>
      </c>
      <c r="G23" s="17" t="n">
        <v>0.993</v>
      </c>
      <c r="H23" s="15" t="s">
        <v>17</v>
      </c>
      <c r="I23" s="15" t="s">
        <v>17</v>
      </c>
    </row>
    <row r="24" customFormat="false" ht="15" hidden="false" customHeight="false" outlineLevel="0" collapsed="false">
      <c r="A24" s="13" t="n">
        <v>46160</v>
      </c>
      <c r="B24" s="14" t="s">
        <v>30</v>
      </c>
      <c r="C24" s="15" t="s">
        <v>26</v>
      </c>
      <c r="D24" s="16" t="n">
        <v>105</v>
      </c>
      <c r="E24" s="16" t="n">
        <v>500</v>
      </c>
      <c r="F24" s="16" t="n">
        <v>9900</v>
      </c>
      <c r="G24" s="17" t="n">
        <v>0.969</v>
      </c>
      <c r="H24" s="15" t="s">
        <v>27</v>
      </c>
      <c r="I24" s="15" t="s">
        <v>29</v>
      </c>
    </row>
    <row r="25" customFormat="false" ht="15" hidden="false" customHeight="false" outlineLevel="0" collapsed="false">
      <c r="A25" s="13" t="n">
        <v>46167</v>
      </c>
      <c r="B25" s="14" t="s">
        <v>14</v>
      </c>
      <c r="C25" s="15" t="s">
        <v>15</v>
      </c>
      <c r="D25" s="16" t="n">
        <v>810</v>
      </c>
      <c r="E25" s="16" t="n">
        <v>4190</v>
      </c>
      <c r="F25" s="16" t="n">
        <v>54100</v>
      </c>
      <c r="G25" s="17" t="n">
        <v>0.989</v>
      </c>
      <c r="H25" s="15" t="s">
        <v>17</v>
      </c>
      <c r="I25" s="15" t="s">
        <v>17</v>
      </c>
    </row>
    <row r="26" customFormat="false" ht="15" hidden="false" customHeight="false" outlineLevel="0" collapsed="false">
      <c r="A26" s="13" t="n">
        <v>46167</v>
      </c>
      <c r="B26" s="14" t="s">
        <v>19</v>
      </c>
      <c r="C26" s="15" t="s">
        <v>15</v>
      </c>
      <c r="D26" s="16" t="n">
        <v>310</v>
      </c>
      <c r="E26" s="16" t="n">
        <v>1485</v>
      </c>
      <c r="F26" s="16" t="n">
        <v>19600</v>
      </c>
      <c r="G26" s="17" t="n">
        <v>0.954</v>
      </c>
      <c r="H26" s="15" t="s">
        <v>21</v>
      </c>
      <c r="I26" s="15" t="s">
        <v>21</v>
      </c>
    </row>
    <row r="27" customFormat="false" ht="15" hidden="false" customHeight="false" outlineLevel="0" collapsed="false">
      <c r="A27" s="13" t="n">
        <v>46167</v>
      </c>
      <c r="B27" s="14" t="s">
        <v>23</v>
      </c>
      <c r="C27" s="15" t="s">
        <v>15</v>
      </c>
      <c r="D27" s="16" t="n">
        <v>95</v>
      </c>
      <c r="E27" s="16" t="n">
        <v>408</v>
      </c>
      <c r="F27" s="16" t="n">
        <v>8200</v>
      </c>
      <c r="G27" s="17" t="n">
        <v>0.992</v>
      </c>
      <c r="H27" s="15" t="s">
        <v>17</v>
      </c>
      <c r="I27" s="15" t="s">
        <v>17</v>
      </c>
    </row>
    <row r="28" customFormat="false" ht="15" hidden="false" customHeight="false" outlineLevel="0" collapsed="false">
      <c r="A28" s="13" t="n">
        <v>46167</v>
      </c>
      <c r="B28" s="14" t="s">
        <v>30</v>
      </c>
      <c r="C28" s="15" t="s">
        <v>26</v>
      </c>
      <c r="D28" s="16" t="n">
        <v>105</v>
      </c>
      <c r="E28" s="16" t="n">
        <v>470</v>
      </c>
      <c r="F28" s="16" t="n">
        <v>9500</v>
      </c>
      <c r="G28" s="17" t="n">
        <v>0.967</v>
      </c>
      <c r="H28" s="15" t="s">
        <v>27</v>
      </c>
      <c r="I28" s="15" t="s">
        <v>29</v>
      </c>
    </row>
    <row r="29" customFormat="false" ht="15" hidden="false" customHeight="false" outlineLevel="0" collapsed="false">
      <c r="A29" s="13" t="n">
        <v>46174</v>
      </c>
      <c r="B29" s="14" t="s">
        <v>14</v>
      </c>
      <c r="C29" s="15" t="s">
        <v>15</v>
      </c>
      <c r="D29" s="16" t="n">
        <v>815</v>
      </c>
      <c r="E29" s="16" t="n">
        <v>4230</v>
      </c>
      <c r="F29" s="16" t="n">
        <v>54800</v>
      </c>
      <c r="G29" s="17" t="n">
        <v>0.988</v>
      </c>
      <c r="H29" s="15" t="s">
        <v>17</v>
      </c>
      <c r="I29" s="15" t="s">
        <v>17</v>
      </c>
    </row>
    <row r="30" customFormat="false" ht="15" hidden="false" customHeight="false" outlineLevel="0" collapsed="false">
      <c r="A30" s="13" t="n">
        <v>46174</v>
      </c>
      <c r="B30" s="14" t="s">
        <v>19</v>
      </c>
      <c r="C30" s="15" t="s">
        <v>15</v>
      </c>
      <c r="D30" s="16" t="n">
        <v>315</v>
      </c>
      <c r="E30" s="16" t="n">
        <v>1480</v>
      </c>
      <c r="F30" s="16" t="n">
        <v>19500</v>
      </c>
      <c r="G30" s="17" t="n">
        <v>0.952</v>
      </c>
      <c r="H30" s="15" t="s">
        <v>21</v>
      </c>
      <c r="I30" s="15" t="s">
        <v>21</v>
      </c>
    </row>
    <row r="31" customFormat="false" ht="15" hidden="false" customHeight="false" outlineLevel="0" collapsed="false">
      <c r="A31" s="13" t="n">
        <v>46174</v>
      </c>
      <c r="B31" s="14" t="s">
        <v>23</v>
      </c>
      <c r="C31" s="15" t="s">
        <v>15</v>
      </c>
      <c r="D31" s="16" t="n">
        <v>96</v>
      </c>
      <c r="E31" s="16" t="n">
        <v>407</v>
      </c>
      <c r="F31" s="16" t="n">
        <v>8180</v>
      </c>
      <c r="G31" s="17" t="n">
        <v>0.993</v>
      </c>
      <c r="H31" s="15" t="s">
        <v>17</v>
      </c>
      <c r="I31" s="15" t="s">
        <v>17</v>
      </c>
    </row>
    <row r="32" customFormat="false" ht="15" hidden="false" customHeight="false" outlineLevel="0" collapsed="false">
      <c r="A32" s="13" t="n">
        <v>46174</v>
      </c>
      <c r="B32" s="14" t="s">
        <v>30</v>
      </c>
      <c r="C32" s="15" t="s">
        <v>26</v>
      </c>
      <c r="D32" s="16" t="n">
        <v>104</v>
      </c>
      <c r="E32" s="16" t="n">
        <v>440</v>
      </c>
      <c r="F32" s="16" t="n">
        <v>9100</v>
      </c>
      <c r="G32" s="17" t="n">
        <v>0.966</v>
      </c>
      <c r="H32" s="15" t="s">
        <v>27</v>
      </c>
      <c r="I32" s="15" t="s">
        <v>29</v>
      </c>
    </row>
    <row r="33" customFormat="false" ht="15" hidden="false" customHeight="false" outlineLevel="0" collapsed="false">
      <c r="A33" s="13" t="n">
        <v>46181</v>
      </c>
      <c r="B33" s="14" t="s">
        <v>14</v>
      </c>
      <c r="C33" s="15" t="s">
        <v>15</v>
      </c>
      <c r="D33" s="16" t="n">
        <v>820</v>
      </c>
      <c r="E33" s="16" t="n">
        <v>4255</v>
      </c>
      <c r="F33" s="16" t="n">
        <v>55200</v>
      </c>
      <c r="G33" s="17" t="n">
        <v>0.989</v>
      </c>
      <c r="H33" s="15" t="s">
        <v>17</v>
      </c>
      <c r="I33" s="15" t="s">
        <v>17</v>
      </c>
    </row>
    <row r="34" customFormat="false" ht="15" hidden="false" customHeight="false" outlineLevel="0" collapsed="false">
      <c r="A34" s="13" t="n">
        <v>46181</v>
      </c>
      <c r="B34" s="14" t="s">
        <v>19</v>
      </c>
      <c r="C34" s="15" t="s">
        <v>15</v>
      </c>
      <c r="D34" s="16" t="n">
        <v>315</v>
      </c>
      <c r="E34" s="16" t="n">
        <v>1475</v>
      </c>
      <c r="F34" s="16" t="n">
        <v>19400</v>
      </c>
      <c r="G34" s="17" t="n">
        <v>0.949</v>
      </c>
      <c r="H34" s="15" t="s">
        <v>21</v>
      </c>
      <c r="I34" s="15" t="s">
        <v>21</v>
      </c>
    </row>
    <row r="35" customFormat="false" ht="15" hidden="false" customHeight="false" outlineLevel="0" collapsed="false">
      <c r="A35" s="13" t="n">
        <v>46181</v>
      </c>
      <c r="B35" s="14" t="s">
        <v>23</v>
      </c>
      <c r="C35" s="15" t="s">
        <v>15</v>
      </c>
      <c r="D35" s="16" t="n">
        <v>96</v>
      </c>
      <c r="E35" s="16" t="n">
        <v>410</v>
      </c>
      <c r="F35" s="16" t="n">
        <v>8220</v>
      </c>
      <c r="G35" s="17" t="n">
        <v>0.993</v>
      </c>
      <c r="H35" s="15" t="s">
        <v>17</v>
      </c>
      <c r="I35" s="15" t="s">
        <v>17</v>
      </c>
    </row>
    <row r="36" customFormat="false" ht="15" hidden="false" customHeight="false" outlineLevel="0" collapsed="false">
      <c r="A36" s="13" t="n">
        <v>46181</v>
      </c>
      <c r="B36" s="14" t="s">
        <v>30</v>
      </c>
      <c r="C36" s="15" t="s">
        <v>26</v>
      </c>
      <c r="D36" s="16" t="n">
        <v>104</v>
      </c>
      <c r="E36" s="16" t="n">
        <v>410</v>
      </c>
      <c r="F36" s="16" t="n">
        <v>8800</v>
      </c>
      <c r="G36" s="17" t="n">
        <v>0.964</v>
      </c>
      <c r="H36" s="15" t="s">
        <v>27</v>
      </c>
      <c r="I36" s="15" t="s">
        <v>29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8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9" t="s">
        <v>37</v>
      </c>
    </row>
    <row r="5" customFormat="false" ht="15" hidden="false" customHeight="false" outlineLevel="0" collapsed="false">
      <c r="A5" s="20" t="s">
        <v>34</v>
      </c>
      <c r="B5" s="21" t="s">
        <v>14</v>
      </c>
      <c r="C5" s="21" t="s">
        <v>19</v>
      </c>
      <c r="D5" s="21" t="s">
        <v>23</v>
      </c>
      <c r="E5" s="21" t="s">
        <v>30</v>
      </c>
    </row>
    <row r="6" customFormat="false" ht="15" hidden="false" customHeight="false" outlineLevel="0" collapsed="false">
      <c r="A6" s="22" t="n">
        <v>46132</v>
      </c>
      <c r="B6" s="23" t="n">
        <f aca="false">SUMIFS(History!$E:$E,History!$B:$B,B$5,History!$A:$A,$A6)</f>
        <v>4000</v>
      </c>
      <c r="C6" s="23" t="n">
        <f aca="false">SUMIFS(History!$E:$E,History!$B:$B,C$5,History!$A:$A,$A6)</f>
        <v>1500</v>
      </c>
      <c r="D6" s="23" t="n">
        <f aca="false">SUMIFS(History!$E:$E,History!$B:$B,D$5,History!$A:$A,$A6)</f>
        <v>400</v>
      </c>
      <c r="E6" s="23" t="n">
        <f aca="false">SUMIFS(History!$E:$E,History!$B:$B,E$5,History!$A:$A,$A6)</f>
        <v>620</v>
      </c>
    </row>
    <row r="7" customFormat="false" ht="15" hidden="false" customHeight="false" outlineLevel="0" collapsed="false">
      <c r="A7" s="22" t="n">
        <v>46139</v>
      </c>
      <c r="B7" s="23" t="n">
        <f aca="false">SUMIFS(History!$E:$E,History!$B:$B,B$5,History!$A:$A,$A7)</f>
        <v>4040</v>
      </c>
      <c r="C7" s="23" t="n">
        <f aca="false">SUMIFS(History!$E:$E,History!$B:$B,C$5,History!$A:$A,$A7)</f>
        <v>1505</v>
      </c>
      <c r="D7" s="23" t="n">
        <f aca="false">SUMIFS(History!$E:$E,History!$B:$B,D$5,History!$A:$A,$A7)</f>
        <v>402</v>
      </c>
      <c r="E7" s="23" t="n">
        <f aca="false">SUMIFS(History!$E:$E,History!$B:$B,E$5,History!$A:$A,$A7)</f>
        <v>600</v>
      </c>
    </row>
    <row r="8" customFormat="false" ht="15" hidden="false" customHeight="false" outlineLevel="0" collapsed="false">
      <c r="A8" s="22" t="n">
        <v>46146</v>
      </c>
      <c r="B8" s="23" t="n">
        <f aca="false">SUMIFS(History!$E:$E,History!$B:$B,B$5,History!$A:$A,$A8)</f>
        <v>4090</v>
      </c>
      <c r="C8" s="23" t="n">
        <f aca="false">SUMIFS(History!$E:$E,History!$B:$B,C$5,History!$A:$A,$A8)</f>
        <v>1495</v>
      </c>
      <c r="D8" s="23" t="n">
        <f aca="false">SUMIFS(History!$E:$E,History!$B:$B,D$5,History!$A:$A,$A8)</f>
        <v>405</v>
      </c>
      <c r="E8" s="23" t="n">
        <f aca="false">SUMIFS(History!$E:$E,History!$B:$B,E$5,History!$A:$A,$A8)</f>
        <v>580</v>
      </c>
    </row>
    <row r="9" customFormat="false" ht="15" hidden="false" customHeight="false" outlineLevel="0" collapsed="false">
      <c r="A9" s="22" t="n">
        <v>46153</v>
      </c>
      <c r="B9" s="23" t="n">
        <f aca="false">SUMIFS(History!$E:$E,History!$B:$B,B$5,History!$A:$A,$A9)</f>
        <v>4120</v>
      </c>
      <c r="C9" s="23" t="n">
        <f aca="false">SUMIFS(History!$E:$E,History!$B:$B,C$5,History!$A:$A,$A9)</f>
        <v>1500</v>
      </c>
      <c r="D9" s="23" t="n">
        <f aca="false">SUMIFS(History!$E:$E,History!$B:$B,D$5,History!$A:$A,$A9)</f>
        <v>403</v>
      </c>
      <c r="E9" s="23" t="n">
        <f aca="false">SUMIFS(History!$E:$E,History!$B:$B,E$5,History!$A:$A,$A9)</f>
        <v>540</v>
      </c>
    </row>
    <row r="10" customFormat="false" ht="15" hidden="false" customHeight="false" outlineLevel="0" collapsed="false">
      <c r="A10" s="22" t="n">
        <v>46160</v>
      </c>
      <c r="B10" s="23" t="n">
        <f aca="false">SUMIFS(History!$E:$E,History!$B:$B,B$5,History!$A:$A,$A10)</f>
        <v>4160</v>
      </c>
      <c r="C10" s="23" t="n">
        <f aca="false">SUMIFS(History!$E:$E,History!$B:$B,C$5,History!$A:$A,$A10)</f>
        <v>1490</v>
      </c>
      <c r="D10" s="23" t="n">
        <f aca="false">SUMIFS(History!$E:$E,History!$B:$B,D$5,History!$A:$A,$A10)</f>
        <v>406</v>
      </c>
      <c r="E10" s="23" t="n">
        <f aca="false">SUMIFS(History!$E:$E,History!$B:$B,E$5,History!$A:$A,$A10)</f>
        <v>500</v>
      </c>
    </row>
    <row r="11" customFormat="false" ht="15" hidden="false" customHeight="false" outlineLevel="0" collapsed="false">
      <c r="A11" s="22" t="n">
        <v>46167</v>
      </c>
      <c r="B11" s="23" t="n">
        <f aca="false">SUMIFS(History!$E:$E,History!$B:$B,B$5,History!$A:$A,$A11)</f>
        <v>4190</v>
      </c>
      <c r="C11" s="23" t="n">
        <f aca="false">SUMIFS(History!$E:$E,History!$B:$B,C$5,History!$A:$A,$A11)</f>
        <v>1485</v>
      </c>
      <c r="D11" s="23" t="n">
        <f aca="false">SUMIFS(History!$E:$E,History!$B:$B,D$5,History!$A:$A,$A11)</f>
        <v>408</v>
      </c>
      <c r="E11" s="23" t="n">
        <f aca="false">SUMIFS(History!$E:$E,History!$B:$B,E$5,History!$A:$A,$A11)</f>
        <v>470</v>
      </c>
    </row>
    <row r="12" customFormat="false" ht="15" hidden="false" customHeight="false" outlineLevel="0" collapsed="false">
      <c r="A12" s="22" t="n">
        <v>46174</v>
      </c>
      <c r="B12" s="23" t="n">
        <f aca="false">SUMIFS(History!$E:$E,History!$B:$B,B$5,History!$A:$A,$A12)</f>
        <v>4230</v>
      </c>
      <c r="C12" s="23" t="n">
        <f aca="false">SUMIFS(History!$E:$E,History!$B:$B,C$5,History!$A:$A,$A12)</f>
        <v>1480</v>
      </c>
      <c r="D12" s="23" t="n">
        <f aca="false">SUMIFS(History!$E:$E,History!$B:$B,D$5,History!$A:$A,$A12)</f>
        <v>407</v>
      </c>
      <c r="E12" s="23" t="n">
        <f aca="false">SUMIFS(History!$E:$E,History!$B:$B,E$5,History!$A:$A,$A12)</f>
        <v>440</v>
      </c>
    </row>
    <row r="13" customFormat="false" ht="15" hidden="false" customHeight="false" outlineLevel="0" collapsed="false">
      <c r="A13" s="22" t="n">
        <v>46181</v>
      </c>
      <c r="B13" s="23" t="n">
        <f aca="false">SUMIFS(History!$E:$E,History!$B:$B,B$5,History!$A:$A,$A13)</f>
        <v>4255</v>
      </c>
      <c r="C13" s="23" t="n">
        <f aca="false">SUMIFS(History!$E:$E,History!$B:$B,C$5,History!$A:$A,$A13)</f>
        <v>1475</v>
      </c>
      <c r="D13" s="23" t="n">
        <f aca="false">SUMIFS(History!$E:$E,History!$B:$B,D$5,History!$A:$A,$A13)</f>
        <v>410</v>
      </c>
      <c r="E13" s="23" t="n">
        <f aca="false">SUMIFS(History!$E:$E,History!$B:$B,E$5,History!$A:$A,$A13)</f>
        <v>410</v>
      </c>
    </row>
    <row r="17" customFormat="false" ht="15" hidden="false" customHeight="false" outlineLevel="0" collapsed="false">
      <c r="A17" s="19" t="s">
        <v>38</v>
      </c>
    </row>
    <row r="18" customFormat="false" ht="15" hidden="false" customHeight="false" outlineLevel="0" collapsed="false">
      <c r="A18" s="20" t="s">
        <v>34</v>
      </c>
      <c r="B18" s="21" t="s">
        <v>14</v>
      </c>
      <c r="C18" s="21" t="s">
        <v>19</v>
      </c>
      <c r="D18" s="21" t="s">
        <v>23</v>
      </c>
      <c r="E18" s="21" t="s">
        <v>30</v>
      </c>
    </row>
    <row r="19" customFormat="false" ht="15" hidden="false" customHeight="false" outlineLevel="0" collapsed="false">
      <c r="A19" s="22" t="n">
        <v>46132</v>
      </c>
      <c r="B19" s="24" t="n">
        <f aca="false">SUMIFS(History!$G:$G,History!$B:$B,B$18,History!$A:$A,$A19)</f>
        <v>0.991</v>
      </c>
      <c r="C19" s="24" t="n">
        <f aca="false">SUMIFS(History!$G:$G,History!$B:$B,C$18,History!$A:$A,$A19)</f>
        <v>0.965</v>
      </c>
      <c r="D19" s="24" t="n">
        <f aca="false">SUMIFS(History!$G:$G,History!$B:$B,D$18,History!$A:$A,$A19)</f>
        <v>0.993</v>
      </c>
      <c r="E19" s="24" t="n">
        <f aca="false">SUMIFS(History!$G:$G,History!$B:$B,E$18,History!$A:$A,$A19)</f>
        <v>0.975</v>
      </c>
    </row>
    <row r="20" customFormat="false" ht="15" hidden="false" customHeight="false" outlineLevel="0" collapsed="false">
      <c r="A20" s="22" t="n">
        <v>46139</v>
      </c>
      <c r="B20" s="24" t="n">
        <f aca="false">SUMIFS(History!$G:$G,History!$B:$B,B$18,History!$A:$A,$A20)</f>
        <v>0.99</v>
      </c>
      <c r="C20" s="24" t="n">
        <f aca="false">SUMIFS(History!$G:$G,History!$B:$B,C$18,History!$A:$A,$A20)</f>
        <v>0.963</v>
      </c>
      <c r="D20" s="24" t="n">
        <f aca="false">SUMIFS(History!$G:$G,History!$B:$B,D$18,History!$A:$A,$A20)</f>
        <v>0.992</v>
      </c>
      <c r="E20" s="24" t="n">
        <f aca="false">SUMIFS(History!$G:$G,History!$B:$B,E$18,History!$A:$A,$A20)</f>
        <v>0.974</v>
      </c>
    </row>
    <row r="21" customFormat="false" ht="15" hidden="false" customHeight="false" outlineLevel="0" collapsed="false">
      <c r="A21" s="22" t="n">
        <v>46146</v>
      </c>
      <c r="B21" s="24" t="n">
        <f aca="false">SUMIFS(History!$G:$G,History!$B:$B,B$18,History!$A:$A,$A21)</f>
        <v>0.989</v>
      </c>
      <c r="C21" s="24" t="n">
        <f aca="false">SUMIFS(History!$G:$G,History!$B:$B,C$18,History!$A:$A,$A21)</f>
        <v>0.961</v>
      </c>
      <c r="D21" s="24" t="n">
        <f aca="false">SUMIFS(History!$G:$G,History!$B:$B,D$18,History!$A:$A,$A21)</f>
        <v>0.993</v>
      </c>
      <c r="E21" s="24" t="n">
        <f aca="false">SUMIFS(History!$G:$G,History!$B:$B,E$18,History!$A:$A,$A21)</f>
        <v>0.972</v>
      </c>
    </row>
    <row r="22" customFormat="false" ht="15" hidden="false" customHeight="false" outlineLevel="0" collapsed="false">
      <c r="A22" s="22" t="n">
        <v>46153</v>
      </c>
      <c r="B22" s="24" t="n">
        <f aca="false">SUMIFS(History!$G:$G,History!$B:$B,B$18,History!$A:$A,$A22)</f>
        <v>0.988</v>
      </c>
      <c r="C22" s="24" t="n">
        <f aca="false">SUMIFS(History!$G:$G,History!$B:$B,C$18,History!$A:$A,$A22)</f>
        <v>0.958</v>
      </c>
      <c r="D22" s="24" t="n">
        <f aca="false">SUMIFS(History!$G:$G,History!$B:$B,D$18,History!$A:$A,$A22)</f>
        <v>0.994</v>
      </c>
      <c r="E22" s="24" t="n">
        <f aca="false">SUMIFS(History!$G:$G,History!$B:$B,E$18,History!$A:$A,$A22)</f>
        <v>0.97</v>
      </c>
    </row>
    <row r="23" customFormat="false" ht="15" hidden="false" customHeight="false" outlineLevel="0" collapsed="false">
      <c r="A23" s="22" t="n">
        <v>46160</v>
      </c>
      <c r="B23" s="24" t="n">
        <f aca="false">SUMIFS(History!$G:$G,History!$B:$B,B$18,History!$A:$A,$A23)</f>
        <v>0.99</v>
      </c>
      <c r="C23" s="24" t="n">
        <f aca="false">SUMIFS(History!$G:$G,History!$B:$B,C$18,History!$A:$A,$A23)</f>
        <v>0.957</v>
      </c>
      <c r="D23" s="24" t="n">
        <f aca="false">SUMIFS(History!$G:$G,History!$B:$B,D$18,History!$A:$A,$A23)</f>
        <v>0.993</v>
      </c>
      <c r="E23" s="24" t="n">
        <f aca="false">SUMIFS(History!$G:$G,History!$B:$B,E$18,History!$A:$A,$A23)</f>
        <v>0.969</v>
      </c>
    </row>
    <row r="24" customFormat="false" ht="15" hidden="false" customHeight="false" outlineLevel="0" collapsed="false">
      <c r="A24" s="22" t="n">
        <v>46167</v>
      </c>
      <c r="B24" s="24" t="n">
        <f aca="false">SUMIFS(History!$G:$G,History!$B:$B,B$18,History!$A:$A,$A24)</f>
        <v>0.989</v>
      </c>
      <c r="C24" s="24" t="n">
        <f aca="false">SUMIFS(History!$G:$G,History!$B:$B,C$18,History!$A:$A,$A24)</f>
        <v>0.954</v>
      </c>
      <c r="D24" s="24" t="n">
        <f aca="false">SUMIFS(History!$G:$G,History!$B:$B,D$18,History!$A:$A,$A24)</f>
        <v>0.992</v>
      </c>
      <c r="E24" s="24" t="n">
        <f aca="false">SUMIFS(History!$G:$G,History!$B:$B,E$18,History!$A:$A,$A24)</f>
        <v>0.967</v>
      </c>
    </row>
    <row r="25" customFormat="false" ht="15" hidden="false" customHeight="false" outlineLevel="0" collapsed="false">
      <c r="A25" s="22" t="n">
        <v>46174</v>
      </c>
      <c r="B25" s="24" t="n">
        <f aca="false">SUMIFS(History!$G:$G,History!$B:$B,B$18,History!$A:$A,$A25)</f>
        <v>0.988</v>
      </c>
      <c r="C25" s="24" t="n">
        <f aca="false">SUMIFS(History!$G:$G,History!$B:$B,C$18,History!$A:$A,$A25)</f>
        <v>0.952</v>
      </c>
      <c r="D25" s="24" t="n">
        <f aca="false">SUMIFS(History!$G:$G,History!$B:$B,D$18,History!$A:$A,$A25)</f>
        <v>0.993</v>
      </c>
      <c r="E25" s="24" t="n">
        <f aca="false">SUMIFS(History!$G:$G,History!$B:$B,E$18,History!$A:$A,$A25)</f>
        <v>0.966</v>
      </c>
    </row>
    <row r="26" customFormat="false" ht="15" hidden="false" customHeight="false" outlineLevel="0" collapsed="false">
      <c r="A26" s="22" t="n">
        <v>46181</v>
      </c>
      <c r="B26" s="24" t="n">
        <f aca="false">SUMIFS(History!$G:$G,History!$B:$B,B$18,History!$A:$A,$A26)</f>
        <v>0.989</v>
      </c>
      <c r="C26" s="24" t="n">
        <f aca="false">SUMIFS(History!$G:$G,History!$B:$B,C$18,History!$A:$A,$A26)</f>
        <v>0.949</v>
      </c>
      <c r="D26" s="24" t="n">
        <f aca="false">SUMIFS(History!$G:$G,History!$B:$B,D$18,History!$A:$A,$A26)</f>
        <v>0.993</v>
      </c>
      <c r="E26" s="24" t="n">
        <f aca="false">SUMIFS(History!$G:$G,History!$B:$B,E$18,History!$A:$A,$A26)</f>
        <v>0.964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8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25" t="s">
        <v>41</v>
      </c>
      <c r="B4" s="25" t="s">
        <v>42</v>
      </c>
      <c r="C4" s="25" t="s">
        <v>43</v>
      </c>
    </row>
    <row r="5" customFormat="false" ht="15" hidden="false" customHeight="false" outlineLevel="0" collapsed="false">
      <c r="A5" s="26" t="s">
        <v>3</v>
      </c>
      <c r="B5" s="26" t="s">
        <v>24</v>
      </c>
      <c r="C5" s="26" t="s">
        <v>24</v>
      </c>
    </row>
    <row r="6" customFormat="false" ht="15" hidden="false" customHeight="false" outlineLevel="0" collapsed="false">
      <c r="A6" s="27" t="s">
        <v>4</v>
      </c>
      <c r="B6" s="27" t="s">
        <v>44</v>
      </c>
      <c r="C6" s="27" t="s">
        <v>45</v>
      </c>
    </row>
    <row r="7" customFormat="false" ht="15" hidden="false" customHeight="false" outlineLevel="0" collapsed="false">
      <c r="A7" s="26" t="s">
        <v>5</v>
      </c>
      <c r="B7" s="26" t="s">
        <v>46</v>
      </c>
      <c r="C7" s="26" t="s">
        <v>45</v>
      </c>
    </row>
    <row r="8" customFormat="false" ht="15" hidden="false" customHeight="false" outlineLevel="0" collapsed="false">
      <c r="A8" s="27" t="s">
        <v>47</v>
      </c>
      <c r="B8" s="27" t="s">
        <v>48</v>
      </c>
      <c r="C8" s="27" t="s">
        <v>49</v>
      </c>
    </row>
    <row r="9" customFormat="false" ht="15" hidden="false" customHeight="false" outlineLevel="0" collapsed="false">
      <c r="A9" s="26" t="s">
        <v>50</v>
      </c>
      <c r="B9" s="26" t="s">
        <v>51</v>
      </c>
      <c r="C9" s="26" t="s">
        <v>49</v>
      </c>
    </row>
    <row r="10" customFormat="false" ht="15" hidden="false" customHeight="false" outlineLevel="0" collapsed="false">
      <c r="A10" s="27" t="s">
        <v>52</v>
      </c>
      <c r="B10" s="27" t="s">
        <v>53</v>
      </c>
      <c r="C10" s="27" t="s">
        <v>54</v>
      </c>
    </row>
    <row r="11" customFormat="false" ht="15" hidden="false" customHeight="false" outlineLevel="0" collapsed="false">
      <c r="A11" s="26" t="s">
        <v>9</v>
      </c>
      <c r="B11" s="26" t="s">
        <v>55</v>
      </c>
      <c r="C11" s="26" t="s">
        <v>49</v>
      </c>
    </row>
    <row r="12" customFormat="false" ht="15" hidden="false" customHeight="false" outlineLevel="0" collapsed="false">
      <c r="A12" s="27" t="s">
        <v>10</v>
      </c>
      <c r="B12" s="27" t="s">
        <v>56</v>
      </c>
      <c r="C12" s="27" t="s">
        <v>57</v>
      </c>
    </row>
    <row r="13" customFormat="false" ht="15" hidden="false" customHeight="false" outlineLevel="0" collapsed="false">
      <c r="A13" s="26" t="s">
        <v>58</v>
      </c>
      <c r="B13" s="26" t="s">
        <v>59</v>
      </c>
      <c r="C13" s="26" t="s">
        <v>54</v>
      </c>
    </row>
    <row r="14" customFormat="false" ht="15" hidden="false" customHeight="false" outlineLevel="0" collapsed="false">
      <c r="A14" s="27" t="s">
        <v>11</v>
      </c>
      <c r="B14" s="27" t="s">
        <v>60</v>
      </c>
      <c r="C14" s="27" t="s">
        <v>61</v>
      </c>
    </row>
    <row r="15" customFormat="false" ht="15" hidden="false" customHeight="false" outlineLevel="0" collapsed="false">
      <c r="A15" s="26" t="s">
        <v>12</v>
      </c>
      <c r="B15" s="26" t="s">
        <v>62</v>
      </c>
      <c r="C15" s="26" t="s">
        <v>45</v>
      </c>
    </row>
    <row r="16" customFormat="false" ht="15" hidden="false" customHeight="false" outlineLevel="0" collapsed="false">
      <c r="A16" s="27" t="s">
        <v>13</v>
      </c>
      <c r="B16" s="27" t="s">
        <v>63</v>
      </c>
      <c r="C16" s="27" t="s">
        <v>64</v>
      </c>
    </row>
    <row r="17" customFormat="false" ht="55.5" hidden="false" customHeight="true" outlineLevel="0" collapsed="false">
      <c r="A17" s="28" t="s">
        <v>65</v>
      </c>
      <c r="B17" s="28"/>
      <c r="C17" s="28"/>
    </row>
    <row r="18" customFormat="false" ht="55.5" hidden="false" customHeight="true" outlineLevel="0" collapsed="false">
      <c r="A18" s="28" t="s">
        <v>66</v>
      </c>
      <c r="B18" s="28"/>
      <c r="C18" s="28"/>
    </row>
    <row r="20" customFormat="false" ht="15" hidden="false" customHeight="false" outlineLevel="0" collapsed="false">
      <c r="A20" s="29" t="s">
        <v>67</v>
      </c>
    </row>
    <row r="21" customFormat="false" ht="15" hidden="false" customHeight="false" outlineLevel="0" collapsed="false">
      <c r="A21" s="30" t="s">
        <v>17</v>
      </c>
      <c r="B21" s="31" t="s">
        <v>68</v>
      </c>
    </row>
    <row r="22" customFormat="false" ht="15" hidden="false" customHeight="false" outlineLevel="0" collapsed="false">
      <c r="A22" s="32" t="s">
        <v>21</v>
      </c>
      <c r="B22" s="31" t="s">
        <v>69</v>
      </c>
    </row>
    <row r="23" customFormat="false" ht="15" hidden="false" customHeight="false" outlineLevel="0" collapsed="false">
      <c r="A23" s="33" t="s">
        <v>29</v>
      </c>
      <c r="B23" s="31" t="s">
        <v>70</v>
      </c>
    </row>
    <row r="25" customFormat="false" ht="15" hidden="false" customHeight="false" outlineLevel="0" collapsed="false">
      <c r="A25" s="29" t="s">
        <v>71</v>
      </c>
    </row>
    <row r="26" customFormat="false" ht="15" hidden="false" customHeight="false" outlineLevel="0" collapsed="false">
      <c r="A26" s="34" t="s">
        <v>15</v>
      </c>
      <c r="B26" s="31" t="s">
        <v>72</v>
      </c>
    </row>
    <row r="27" customFormat="false" ht="15" hidden="false" customHeight="false" outlineLevel="0" collapsed="false">
      <c r="A27" s="34" t="s">
        <v>73</v>
      </c>
      <c r="B27" s="31" t="s">
        <v>74</v>
      </c>
    </row>
    <row r="28" customFormat="false" ht="15" hidden="false" customHeight="false" outlineLevel="0" collapsed="false">
      <c r="A28" s="34" t="s">
        <v>75</v>
      </c>
      <c r="B28" s="31" t="s">
        <v>76</v>
      </c>
    </row>
    <row r="29" customFormat="false" ht="15" hidden="false" customHeight="false" outlineLevel="0" collapsed="false">
      <c r="A29" s="34" t="s">
        <v>26</v>
      </c>
      <c r="B29" s="31" t="s">
        <v>77</v>
      </c>
    </row>
  </sheetData>
  <mergeCells count="2"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2026-06-09T13:11:35Z</dcterms:created>
  <dc:creator>openpyxl</dc:creator>
  <dc:description/>
  <dc:language>en-US</dc:language>
  <cp:lastModifiedBy/>
  <dcterms:modified xsi:type="dcterms:W3CDTF">2026-06-09T13:11:36Z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
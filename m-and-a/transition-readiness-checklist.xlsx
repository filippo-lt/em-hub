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Checklist</author>
  </authors>
  <commentList>
    <comment ref="G2" authorId="0">
      <text>
        <r>
          <rPr>
            <sz val="10"/>
            <rFont val="Arial"/>
            <family val="2"/>
          </rPr>
          <t xml:space="preserve">Disposition confirmed with a named decision-maker and date</t>
        </r>
      </text>
    </comment>
    <comment ref="H2" authorId="0">
      <text>
        <r>
          <rPr>
            <sz val="10"/>
            <rFont val="Arial"/>
            <family val="2"/>
          </rPr>
          <t xml:space="preserve">Review/revive date set (for Park) or sunset date (for Wind-down)</t>
        </r>
      </text>
    </comment>
    <comment ref="I2" authorId="0">
      <text>
        <r>
          <rPr>
            <sz val="10"/>
            <rFont val="Arial"/>
            <family val="2"/>
          </rPr>
          <t xml:space="preserve">Written and shared with Product (no verbal-only dispositions)</t>
        </r>
      </text>
    </comment>
    <comment ref="J2" authorId="0">
      <text>
        <r>
          <rPr>
            <sz val="10"/>
            <rFont val="Arial"/>
            <family val="2"/>
          </rPr>
          <t xml:space="preserve">Exiting studio devs named, with last working day AND access-revocation date</t>
        </r>
      </text>
    </comment>
    <comment ref="K2" authorId="0">
      <text>
        <r>
          <rPr>
            <sz val="10"/>
            <rFont val="Arial"/>
            <family val="2"/>
          </rPr>
          <t xml:space="preserve">New owner named (internal dev / external team / advisor) — or explicitly 'no owner while parked'</t>
        </r>
      </text>
    </comment>
    <comment ref="L2" authorId="0">
      <text>
        <r>
          <rPr>
            <sz val="10"/>
            <rFont val="Arial"/>
            <family val="2"/>
          </rPr>
          <t xml:space="preserve">KT / handover overlap booked (paid window; who &lt;-&gt; who; what artifacts)</t>
        </r>
      </text>
    </comment>
    <comment ref="M2" authorId="0">
      <text>
        <r>
          <rPr>
            <sz val="10"/>
            <rFont val="Arial"/>
            <family val="2"/>
          </rPr>
          <t xml:space="preserve">Architecture note + build/release runbook captured from the exiting devs (not reconstructed later)</t>
        </r>
      </text>
    </comment>
    <comment ref="N2" authorId="0">
      <text>
        <r>
          <rPr>
            <sz val="10"/>
            <rFont val="Arial"/>
            <family val="2"/>
          </rPr>
          <t xml:space="preserve">'How to build, sign, and ship' documented for each platform</t>
        </r>
      </text>
    </comment>
    <comment ref="O2" authorId="0">
      <text>
        <r>
          <rPr>
            <sz val="10"/>
            <rFont val="Arial"/>
            <family val="2"/>
          </rPr>
          <t xml:space="preserve">List of tribal-knowledge landmines captured (the 'only X knows this' items)</t>
        </r>
      </text>
    </comment>
    <comment ref="P2" authorId="0">
      <text>
        <r>
          <rPr>
            <sz val="10"/>
            <rFont val="Arial"/>
            <family val="2"/>
          </rPr>
          <t xml:space="preserve">Full repos list recorded</t>
        </r>
      </text>
    </comment>
    <comment ref="Q2" authorId="0">
      <text>
        <r>
          <rPr>
            <sz val="10"/>
            <rFont val="Arial"/>
            <family val="2"/>
          </rPr>
          <t xml:space="preserve">Tech stack + platforms recorded per app (iOS / Android / Backend / Web; framework; key third-party SDKs)</t>
        </r>
      </text>
    </comment>
    <comment ref="R2" authorId="0">
      <text>
        <r>
          <rPr>
            <sz val="10"/>
            <rFont val="Arial"/>
            <family val="2"/>
          </rPr>
          <t xml:space="preserve">Repo ownership/admin transferred off studio accounts</t>
        </r>
      </text>
    </comment>
    <comment ref="S2" authorId="0">
      <text>
        <r>
          <rPr>
            <sz val="10"/>
            <rFont val="Arial"/>
            <family val="2"/>
          </rPr>
          <t xml:space="preserve">Build state green or known-red per platform (BE / Android / iOS / Web) — link the scorecard row</t>
        </r>
      </text>
    </comment>
    <comment ref="T2" authorId="0">
      <text>
        <r>
          <rPr>
            <sz val="10"/>
            <rFont val="Arial"/>
            <family val="2"/>
          </rPr>
          <t xml:space="preserve">Signing certs / keystores located and re-owned; App Store + Play Console access transferred</t>
        </r>
      </text>
    </comment>
    <comment ref="U2" authorId="0">
      <text>
        <r>
          <rPr>
            <sz val="10"/>
            <rFont val="Arial"/>
            <family val="2"/>
          </rPr>
          <t xml:space="preserve">Third-party keys inventoried: AppsFlyer, RevenueCat, Amplitude, Firebase, Crashlytics, Superwall</t>
        </r>
      </text>
    </comment>
    <comment ref="V2" authorId="0">
      <text>
        <r>
          <rPr>
            <sz val="10"/>
            <rFont val="Arial"/>
            <family val="2"/>
          </rPr>
          <t xml:space="preserve">Secrets committed to git identified and ROTATED (see critical path — ChatUltra &amp; PDF Editor flagged)</t>
        </r>
      </text>
    </comment>
    <comment ref="W2" authorId="0">
      <text>
        <r>
          <rPr>
            <sz val="10"/>
            <rFont val="Arial"/>
            <family val="2"/>
          </rPr>
          <t xml:space="preserve">Cloud project ownership (GCP / GAE / Cloud Run) + billing re-assigned off studio</t>
        </r>
      </text>
    </comment>
    <comment ref="X2" authorId="0">
      <text>
        <r>
          <rPr>
            <sz val="10"/>
            <rFont val="Arial"/>
            <family val="2"/>
          </rPr>
          <t xml:space="preserve">Service accounts / API keys rotated at the access-revocation date (not necessarily the last working day)</t>
        </r>
      </text>
    </comment>
    <comment ref="Y2" authorId="0">
      <text>
        <r>
          <rPr>
            <sz val="10"/>
            <rFont val="Arial"/>
            <family val="2"/>
          </rPr>
          <t xml:space="preserve">CI/CD pipelines owned by an internal account; a non-studio person can run a build</t>
        </r>
      </text>
    </comment>
    <comment ref="Z2" authorId="0">
      <text>
        <r>
          <rPr>
            <sz val="10"/>
            <rFont val="Arial"/>
            <family val="2"/>
          </rPr>
          <t xml:space="preserve">Backend hosting owner + cost owner named (esp. ChatUltra Python services)</t>
        </r>
      </text>
    </comment>
    <comment ref="AA2" authorId="0">
      <text>
        <r>
          <rPr>
            <sz val="10"/>
            <rFont val="Arial"/>
            <family val="2"/>
          </rPr>
          <t xml:space="preserve">Domains / DNS ownership confirmed (esp. Truth Seeker web)</t>
        </r>
      </text>
    </comment>
    <comment ref="AB2" authorId="0">
      <text>
        <r>
          <rPr>
            <sz val="10"/>
            <rFont val="Arial"/>
            <family val="2"/>
          </rPr>
          <t xml:space="preserve">PO / PM owner named</t>
        </r>
      </text>
    </comment>
    <comment ref="AC2" authorId="0">
      <text>
        <r>
          <rPr>
            <sz val="10"/>
            <rFont val="Arial"/>
            <family val="2"/>
          </rPr>
          <t xml:space="preserve">Roadmap state: committed work vs frozen, written down</t>
        </r>
      </text>
    </comment>
    <comment ref="AD2" authorId="0">
      <text>
        <r>
          <rPr>
            <sz val="10"/>
            <rFont val="Arial"/>
            <family val="2"/>
          </rPr>
          <t xml:space="preserve">Marketing / UA status: running, paused, or gated</t>
        </r>
      </text>
    </comment>
    <comment ref="AE2" authorId="0">
      <text>
        <r>
          <rPr>
            <sz val="10"/>
            <rFont val="Arial"/>
            <family val="2"/>
          </rPr>
          <t xml:space="preserve">Crash reporting + attribution health owner named</t>
        </r>
      </text>
    </comment>
    <comment ref="AF2" authorId="0">
      <text>
        <r>
          <rPr>
            <sz val="10"/>
            <rFont val="Arial"/>
            <family val="2"/>
          </rPr>
          <t xml:space="preserve">Who responds to a P1 while parked — named, with expected response time / hours of coverage, or 'no coverage'</t>
        </r>
      </text>
    </comment>
    <comment ref="AG2" authorId="0">
      <text>
        <r>
          <rPr>
            <sz val="10"/>
            <rFont val="Arial"/>
            <family val="2"/>
          </rPr>
          <t xml:space="preserve">Support/escalation path after the studio is gone</t>
        </r>
      </text>
    </comment>
    <comment ref="AH2" authorId="0">
      <text>
        <r>
          <rPr>
            <sz val="10"/>
            <rFont val="Arial"/>
            <family val="2"/>
          </rPr>
          <t xml:space="preserve">Park: the trigger that reactivates it, the trigger that kills it, and who decides</t>
        </r>
      </text>
    </comment>
    <comment ref="AI2" authorId="0">
      <text>
        <r>
          <rPr>
            <sz val="10"/>
            <rFont val="Arial"/>
            <family val="2"/>
          </rPr>
          <t xml:space="preserve">Explicit 'transition complete' definition per app — Keep = owner live + KT done; Park = frozen + revive criteria; Wind-down = captured, secured, sunset dated</t>
        </r>
      </text>
    </comment>
    <comment ref="AJ2" authorId="0">
      <text>
        <r>
          <rPr>
            <sz val="10"/>
            <rFont val="Arial"/>
            <family val="2"/>
          </rPr>
          <t xml:space="preserve">Store presence + data retention while parked (keep listing / pull / delete) decided</t>
        </r>
      </text>
    </comment>
  </commentList>
</comments>
</file>

<file path=xl/sharedStrings.xml><?xml version="1.0" encoding="utf-8"?>
<sst xmlns="http://schemas.openxmlformats.org/spreadsheetml/2006/main" count="183" uniqueCount="125">
  <si>
    <t xml:space="preserve">M&amp;A Transition-Readiness Checklist</t>
  </si>
  <si>
    <t xml:space="preserve">A · Disposition &amp; decision</t>
  </si>
  <si>
    <t xml:space="preserve">B · People &amp; knowledge</t>
  </si>
  <si>
    <t xml:space="preserve">C · Code &amp; repos</t>
  </si>
  <si>
    <t xml:space="preserve">D · Credentials, keys &amp; secrets</t>
  </si>
  <si>
    <t xml:space="preserve">E · CI/CD &amp; infrastructure</t>
  </si>
  <si>
    <t xml:space="preserve">F · Product &amp; roadmap</t>
  </si>
  <si>
    <t xml:space="preserve">G · Monitoring, support &amp; incidents</t>
  </si>
  <si>
    <t xml:space="preserve">H · Revive / sunset criteria</t>
  </si>
  <si>
    <t xml:space="preserve">App</t>
  </si>
  <si>
    <t xml:space="preserve">Mode</t>
  </si>
  <si>
    <t xml:space="preserve">Posture</t>
  </si>
  <si>
    <t xml:space="preserve">% Done</t>
  </si>
  <si>
    <t xml:space="preserve">Done</t>
  </si>
  <si>
    <t xml:space="preserve">Applic.</t>
  </si>
  <si>
    <t xml:space="preserve">A1 · Disposition confirmed</t>
  </si>
  <si>
    <t xml:space="preserve">A2 · Review/revive/sunset date</t>
  </si>
  <si>
    <t xml:space="preserve">A3 · Shared w/ Product</t>
  </si>
  <si>
    <t xml:space="preserve">B1 · Devs + last day + access</t>
  </si>
  <si>
    <t xml:space="preserve">B2 · New owner named</t>
  </si>
  <si>
    <t xml:space="preserve">B3 · KT / handover overlap</t>
  </si>
  <si>
    <t xml:space="preserve">B4 · Architecture + runbook</t>
  </si>
  <si>
    <t xml:space="preserve">B5 · Build/sign/ship docs</t>
  </si>
  <si>
    <t xml:space="preserve">B6 · Tribal knowledge captured</t>
  </si>
  <si>
    <t xml:space="preserve">C1 · Full repos list</t>
  </si>
  <si>
    <t xml:space="preserve">C2 · Tech stack + platforms</t>
  </si>
  <si>
    <t xml:space="preserve">C3 · Repo ownership moved</t>
  </si>
  <si>
    <t xml:space="preserve">C4 · Build state per platform</t>
  </si>
  <si>
    <t xml:space="preserve">D1 · Signing certs + store</t>
  </si>
  <si>
    <t xml:space="preserve">D2 · 3rd-party keys inventory</t>
  </si>
  <si>
    <t xml:space="preserve">D3 · Committed secrets rotated</t>
  </si>
  <si>
    <t xml:space="preserve">D4 · Cloud ownership + billing</t>
  </si>
  <si>
    <t xml:space="preserve">D5 · Svc accounts/keys rotated</t>
  </si>
  <si>
    <t xml:space="preserve">E1 · CI/CD owned internally</t>
  </si>
  <si>
    <t xml:space="preserve">E2 · Backend hosting + cost</t>
  </si>
  <si>
    <t xml:space="preserve">E3 · Domains / DNS ownership</t>
  </si>
  <si>
    <t xml:space="preserve">F1 · PO / PM owner named</t>
  </si>
  <si>
    <t xml:space="preserve">F2 · Roadmap state written</t>
  </si>
  <si>
    <t xml:space="preserve">F3 · Marketing / UA status</t>
  </si>
  <si>
    <t xml:space="preserve">G1 · Crash + attribution owner</t>
  </si>
  <si>
    <t xml:space="preserve">G2 · P1 responder + coverage</t>
  </si>
  <si>
    <t xml:space="preserve">G3 · Support / escalation path</t>
  </si>
  <si>
    <t xml:space="preserve">H1 · Park revive/kill triggers</t>
  </si>
  <si>
    <t xml:space="preserve">H2 · 'Transition complete' def</t>
  </si>
  <si>
    <t xml:space="preserve">H3 · Store presence + data</t>
  </si>
  <si>
    <t xml:space="preserve">Chat Ultra</t>
  </si>
  <si>
    <t xml:space="preserve">KEEP</t>
  </si>
  <si>
    <t xml:space="preserve">Govern-in-place</t>
  </si>
  <si>
    <t xml:space="preserve">Truth Seeker</t>
  </si>
  <si>
    <t xml:space="preserve">KEEP (web)</t>
  </si>
  <si>
    <t xml:space="preserve">Rebuild</t>
  </si>
  <si>
    <t xml:space="preserve">PDF Editor</t>
  </si>
  <si>
    <t xml:space="preserve">PARK</t>
  </si>
  <si>
    <t xml:space="preserve">Sunset (default)</t>
  </si>
  <si>
    <t xml:space="preserve">N/A</t>
  </si>
  <si>
    <t xml:space="preserve">Step Counter</t>
  </si>
  <si>
    <t xml:space="preserve">Govern-in-place (low-touch)</t>
  </si>
  <si>
    <t xml:space="preserve">Music Player</t>
  </si>
  <si>
    <t xml:space="preserve">WIND-DOWN</t>
  </si>
  <si>
    <t xml:space="preserve">Sunset</t>
  </si>
  <si>
    <t xml:space="preserve">OVERALL</t>
  </si>
  <si>
    <t xml:space="preserve">How to use: pick Done / In progress / N/A from the dropdown in each cell. % Done, Done and Applic. update automatically. Grey N/A cells = section not required for that app's transition mode (Keep=all; Park=A,B,C,D,G,H; Wind-down=B,D,H). Hover a column header for the full item wording.</t>
  </si>
  <si>
    <t xml:space="preserve">Item code</t>
  </si>
  <si>
    <t xml:space="preserve">Section</t>
  </si>
  <si>
    <t xml:space="preserve">Full checklist item</t>
  </si>
  <si>
    <t xml:space="preserve">A1</t>
  </si>
  <si>
    <t xml:space="preserve">Disposition confirmed with a named decision-maker and date</t>
  </si>
  <si>
    <t xml:space="preserve">A2</t>
  </si>
  <si>
    <t xml:space="preserve">Review/revive date set (for Park) or sunset date (for Wind-down)</t>
  </si>
  <si>
    <t xml:space="preserve">A3</t>
  </si>
  <si>
    <t xml:space="preserve">Written and shared with Product (no verbal-only dispositions)</t>
  </si>
  <si>
    <t xml:space="preserve">B1</t>
  </si>
  <si>
    <t xml:space="preserve">Exiting studio devs named, with last working day AND access-revocation date</t>
  </si>
  <si>
    <t xml:space="preserve">B2</t>
  </si>
  <si>
    <t xml:space="preserve">New owner named (internal dev / external team / advisor) — or explicitly 'no owner while parked'</t>
  </si>
  <si>
    <t xml:space="preserve">B3</t>
  </si>
  <si>
    <t xml:space="preserve">KT / handover overlap booked (paid window; who &lt;-&gt; who; what artifacts)</t>
  </si>
  <si>
    <t xml:space="preserve">B4</t>
  </si>
  <si>
    <t xml:space="preserve">Architecture note + build/release runbook captured from the exiting devs (not reconstructed later)</t>
  </si>
  <si>
    <t xml:space="preserve">B5</t>
  </si>
  <si>
    <t xml:space="preserve">'How to build, sign, and ship' documented for each platform</t>
  </si>
  <si>
    <t xml:space="preserve">B6</t>
  </si>
  <si>
    <t xml:space="preserve">List of tribal-knowledge landmines captured (the 'only X knows this' items)</t>
  </si>
  <si>
    <t xml:space="preserve">C1</t>
  </si>
  <si>
    <t xml:space="preserve">Full repos list recorded</t>
  </si>
  <si>
    <t xml:space="preserve">C2</t>
  </si>
  <si>
    <t xml:space="preserve">Tech stack + platforms recorded per app (iOS / Android / Backend / Web; framework; key third-party SDKs)</t>
  </si>
  <si>
    <t xml:space="preserve">C3</t>
  </si>
  <si>
    <t xml:space="preserve">Repo ownership/admin transferred off studio accounts</t>
  </si>
  <si>
    <t xml:space="preserve">C4</t>
  </si>
  <si>
    <t xml:space="preserve">Build state green or known-red per platform (BE / Android / iOS / Web) — link the scorecard row</t>
  </si>
  <si>
    <t xml:space="preserve">D1</t>
  </si>
  <si>
    <t xml:space="preserve">Signing certs / keystores located and re-owned; App Store + Play Console access transferred</t>
  </si>
  <si>
    <t xml:space="preserve">D2</t>
  </si>
  <si>
    <t xml:space="preserve">Third-party keys inventoried: AppsFlyer, RevenueCat, Amplitude, Firebase, Crashlytics, Superwall</t>
  </si>
  <si>
    <t xml:space="preserve">D3</t>
  </si>
  <si>
    <t xml:space="preserve">Secrets committed to git identified and ROTATED (see critical path — ChatUltra &amp; PDF Editor flagged)</t>
  </si>
  <si>
    <t xml:space="preserve">D4</t>
  </si>
  <si>
    <t xml:space="preserve">Cloud project ownership (GCP / GAE / Cloud Run) + billing re-assigned off studio</t>
  </si>
  <si>
    <t xml:space="preserve">D5</t>
  </si>
  <si>
    <t xml:space="preserve">Service accounts / API keys rotated at the access-revocation date (not necessarily the last working day)</t>
  </si>
  <si>
    <t xml:space="preserve">E1</t>
  </si>
  <si>
    <t xml:space="preserve">CI/CD pipelines owned by an internal account; a non-studio person can run a build</t>
  </si>
  <si>
    <t xml:space="preserve">E2</t>
  </si>
  <si>
    <t xml:space="preserve">Backend hosting owner + cost owner named (esp. ChatUltra Python services)</t>
  </si>
  <si>
    <t xml:space="preserve">E3</t>
  </si>
  <si>
    <t xml:space="preserve">Domains / DNS ownership confirmed (esp. Truth Seeker web)</t>
  </si>
  <si>
    <t xml:space="preserve">F1</t>
  </si>
  <si>
    <t xml:space="preserve">PO / PM owner named</t>
  </si>
  <si>
    <t xml:space="preserve">F2</t>
  </si>
  <si>
    <t xml:space="preserve">Roadmap state: committed work vs frozen, written down</t>
  </si>
  <si>
    <t xml:space="preserve">F3</t>
  </si>
  <si>
    <t xml:space="preserve">Marketing / UA status: running, paused, or gated</t>
  </si>
  <si>
    <t xml:space="preserve">G1</t>
  </si>
  <si>
    <t xml:space="preserve">Crash reporting + attribution health owner named</t>
  </si>
  <si>
    <t xml:space="preserve">G2</t>
  </si>
  <si>
    <t xml:space="preserve">Who responds to a P1 while parked — named, with expected response time / hours of coverage, or 'no coverage'</t>
  </si>
  <si>
    <t xml:space="preserve">G3</t>
  </si>
  <si>
    <t xml:space="preserve">Support/escalation path after the studio is gone</t>
  </si>
  <si>
    <t xml:space="preserve">H1</t>
  </si>
  <si>
    <t xml:space="preserve">Park: the trigger that reactivates it, the trigger that kills it, and who decides</t>
  </si>
  <si>
    <t xml:space="preserve">H2</t>
  </si>
  <si>
    <t xml:space="preserve">Explicit 'transition complete' definition per app — Keep = owner live + KT done; Park = frozen + revive criteria; Wind-down = captured, secured, sunset dated</t>
  </si>
  <si>
    <t xml:space="preserve">H3</t>
  </si>
  <si>
    <t xml:space="preserve">Store presence + data retention while parked (keep listing / pull / delete) decided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</si>
</sst>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4405C"/>
      <name val="Arial"/>
      <family val="0"/>
      <charset val="1"/>
    </font>
    <font>
      <b val="true"/>
      <sz val="9"/>
      <color rgb="FF24405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F57D6"/>
      <name val="Arial"/>
      <family val="0"/>
      <charset val="1"/>
    </font>
    <font>
      <sz val="9"/>
      <color rgb="FF6B665C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B9781A"/>
      <name val="Arial"/>
      <family val="0"/>
      <charset val="1"/>
    </font>
    <font>
      <b val="true"/>
      <sz val="10"/>
      <color rgb="FF7D7A71"/>
      <name val="Arial"/>
      <family val="0"/>
      <charset val="1"/>
    </font>
    <font>
      <i val="true"/>
      <sz val="9"/>
      <color rgb="FF6B665C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4405C"/>
        <bgColor rgb="FF003366"/>
      </patternFill>
    </fill>
    <fill>
      <patternFill patternType="solid">
        <fgColor rgb="FFF4F3EF"/>
        <bgColor rgb="FFF0EFE9"/>
      </patternFill>
    </fill>
    <fill>
      <patternFill patternType="solid">
        <fgColor rgb="FFEEF1FE"/>
        <bgColor rgb="FFF4F3EF"/>
      </patternFill>
    </fill>
    <fill>
      <patternFill patternType="solid">
        <fgColor rgb="FFFBF1E0"/>
        <bgColor rgb="FFF4F3EF"/>
      </patternFill>
    </fill>
    <fill>
      <patternFill patternType="solid">
        <fgColor rgb="FFF0EFE9"/>
        <bgColor rgb="FFF4F3EF"/>
      </patternFill>
    </fill>
    <fill>
      <patternFill patternType="solid">
        <fgColor rgb="FFE9ECF1"/>
        <bgColor rgb="FFF0EF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1C6"/>
      </left>
      <right style="thin">
        <color rgb="FFD5D1C6"/>
      </right>
      <top style="thin">
        <color rgb="FFD5D1C6"/>
      </top>
      <bottom style="thin">
        <color rgb="FFD5D1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106B21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color rgb="FFAEAAA2"/>
        <sz val="8"/>
      </font>
      <fill>
        <patternFill>
          <bgColor rgb="FFE7E6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6B21"/>
      <rgbColor rgb="FF000080"/>
      <rgbColor rgb="FF9C6500"/>
      <rgbColor rgb="FF800080"/>
      <rgbColor rgb="FF008080"/>
      <rgbColor rgb="FFD5D1C6"/>
      <rgbColor rgb="FF7D7A71"/>
      <rgbColor rgb="FF9999FF"/>
      <rgbColor rgb="FF993366"/>
      <rgbColor rgb="FFFBF1E0"/>
      <rgbColor rgb="FFEEF1FE"/>
      <rgbColor rgb="FF660066"/>
      <rgbColor rgb="FFFF8080"/>
      <rgbColor rgb="FF0066CC"/>
      <rgbColor rgb="FFE7E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F1"/>
      <rgbColor rgb="FFC6EFCE"/>
      <rgbColor rgb="FFFFEB9C"/>
      <rgbColor rgb="FFF4F3EF"/>
      <rgbColor rgb="FFFF99CC"/>
      <rgbColor rgb="FFCC99FF"/>
      <rgbColor rgb="FFF0EFE9"/>
      <rgbColor rgb="FF3F57D6"/>
      <rgbColor rgb="FF33CCCC"/>
      <rgbColor rgb="FF99CC00"/>
      <rgbColor rgb="FFFFCC00"/>
      <rgbColor rgb="FFFF9900"/>
      <rgbColor rgb="FFB9781A"/>
      <rgbColor rgb="FF6B665C"/>
      <rgbColor rgb="FFAEAAA2"/>
      <rgbColor rgb="FF003366"/>
      <rgbColor rgb="FF339966"/>
      <rgbColor rgb="FF003300"/>
      <rgbColor rgb="FF333300"/>
      <rgbColor rgb="FF993300"/>
      <rgbColor rgb="FF993366"/>
      <rgbColor rgb="FF333399"/>
      <rgbColor rgb="FF2440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36" min="7" style="0" width="4.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 t="s">
        <v>2</v>
      </c>
      <c r="K1" s="2"/>
      <c r="L1" s="2"/>
      <c r="M1" s="2"/>
      <c r="N1" s="2"/>
      <c r="O1" s="2"/>
      <c r="P1" s="2" t="s">
        <v>3</v>
      </c>
      <c r="Q1" s="2"/>
      <c r="R1" s="2"/>
      <c r="S1" s="2"/>
      <c r="T1" s="2" t="s">
        <v>4</v>
      </c>
      <c r="U1" s="2"/>
      <c r="V1" s="2"/>
      <c r="W1" s="2"/>
      <c r="X1" s="2"/>
      <c r="Y1" s="2" t="s">
        <v>5</v>
      </c>
      <c r="Z1" s="2"/>
      <c r="AA1" s="2"/>
      <c r="AB1" s="2" t="s">
        <v>6</v>
      </c>
      <c r="AC1" s="2"/>
      <c r="AD1" s="2"/>
      <c r="AE1" s="2" t="s">
        <v>7</v>
      </c>
      <c r="AF1" s="2"/>
      <c r="AG1" s="2"/>
      <c r="AH1" s="2" t="s">
        <v>8</v>
      </c>
      <c r="AI1" s="2"/>
      <c r="AJ1" s="2"/>
    </row>
    <row r="2" customFormat="false" ht="189.7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29</v>
      </c>
      <c r="V2" s="4" t="s">
        <v>30</v>
      </c>
      <c r="W2" s="4" t="s">
        <v>31</v>
      </c>
      <c r="X2" s="4" t="s">
        <v>32</v>
      </c>
      <c r="Y2" s="4" t="s">
        <v>33</v>
      </c>
      <c r="Z2" s="4" t="s">
        <v>34</v>
      </c>
      <c r="AA2" s="4" t="s">
        <v>35</v>
      </c>
      <c r="AB2" s="4" t="s">
        <v>36</v>
      </c>
      <c r="AC2" s="4" t="s">
        <v>37</v>
      </c>
      <c r="AD2" s="4" t="s">
        <v>38</v>
      </c>
      <c r="AE2" s="4" t="s">
        <v>39</v>
      </c>
      <c r="AF2" s="4" t="s">
        <v>40</v>
      </c>
      <c r="AG2" s="4" t="s">
        <v>41</v>
      </c>
      <c r="AH2" s="4" t="s">
        <v>42</v>
      </c>
      <c r="AI2" s="4" t="s">
        <v>43</v>
      </c>
      <c r="AJ2" s="4" t="s">
        <v>44</v>
      </c>
    </row>
    <row r="3" customFormat="false" ht="15" hidden="false" customHeight="false" outlineLevel="0" collapsed="false">
      <c r="A3" s="5" t="s">
        <v>45</v>
      </c>
      <c r="B3" s="6" t="s">
        <v>46</v>
      </c>
      <c r="C3" s="7" t="s">
        <v>47</v>
      </c>
      <c r="D3" s="8" t="n">
        <f aca="false">IF(F3=0,0,E3/F3)</f>
        <v>0</v>
      </c>
      <c r="E3" s="9" t="n">
        <f aca="false">COUNTIF(G3:AJ3,"Done")</f>
        <v>0</v>
      </c>
      <c r="F3" s="9" t="n">
        <f aca="false">30-COUNTIF(G3:AJ3,"N/A")</f>
        <v>30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customFormat="false" ht="15" hidden="false" customHeight="false" outlineLevel="0" collapsed="false">
      <c r="A4" s="5" t="s">
        <v>48</v>
      </c>
      <c r="B4" s="6" t="s">
        <v>49</v>
      </c>
      <c r="C4" s="7" t="s">
        <v>50</v>
      </c>
      <c r="D4" s="8" t="n">
        <f aca="false">IF(F4=0,0,E4/F4)</f>
        <v>0</v>
      </c>
      <c r="E4" s="9" t="n">
        <f aca="false">COUNTIF(G4:AJ4,"Done")</f>
        <v>0</v>
      </c>
      <c r="F4" s="9" t="n">
        <f aca="false">30-COUNTIF(G4:AJ4,"N/A")</f>
        <v>30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customFormat="false" ht="15" hidden="false" customHeight="false" outlineLevel="0" collapsed="false">
      <c r="A5" s="5" t="s">
        <v>51</v>
      </c>
      <c r="B5" s="11" t="s">
        <v>52</v>
      </c>
      <c r="C5" s="7" t="s">
        <v>53</v>
      </c>
      <c r="D5" s="8" t="n">
        <f aca="false">IF(F5=0,0,E5/F5)</f>
        <v>0</v>
      </c>
      <c r="E5" s="9" t="n">
        <f aca="false">COUNTIF(G5:AJ5,"Done")</f>
        <v>0</v>
      </c>
      <c r="F5" s="9" t="n">
        <f aca="false">30-COUNTIF(G5:AJ5,"N/A")</f>
        <v>24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 t="s">
        <v>54</v>
      </c>
      <c r="Z5" s="10" t="s">
        <v>54</v>
      </c>
      <c r="AA5" s="10" t="s">
        <v>54</v>
      </c>
      <c r="AB5" s="10" t="s">
        <v>54</v>
      </c>
      <c r="AC5" s="10" t="s">
        <v>54</v>
      </c>
      <c r="AD5" s="10" t="s">
        <v>54</v>
      </c>
      <c r="AE5" s="10"/>
      <c r="AF5" s="10"/>
      <c r="AG5" s="10"/>
      <c r="AH5" s="10"/>
      <c r="AI5" s="10"/>
      <c r="AJ5" s="10"/>
    </row>
    <row r="6" customFormat="false" ht="15" hidden="false" customHeight="false" outlineLevel="0" collapsed="false">
      <c r="A6" s="5" t="s">
        <v>55</v>
      </c>
      <c r="B6" s="11" t="s">
        <v>52</v>
      </c>
      <c r="C6" s="7" t="s">
        <v>56</v>
      </c>
      <c r="D6" s="8" t="n">
        <f aca="false">IF(F6=0,0,E6/F6)</f>
        <v>0</v>
      </c>
      <c r="E6" s="9" t="n">
        <f aca="false">COUNTIF(G6:AJ6,"Done")</f>
        <v>0</v>
      </c>
      <c r="F6" s="9" t="n">
        <f aca="false">30-COUNTIF(G6:AJ6,"N/A")</f>
        <v>24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s">
        <v>54</v>
      </c>
      <c r="Z6" s="10" t="s">
        <v>54</v>
      </c>
      <c r="AA6" s="10" t="s">
        <v>54</v>
      </c>
      <c r="AB6" s="10" t="s">
        <v>54</v>
      </c>
      <c r="AC6" s="10" t="s">
        <v>54</v>
      </c>
      <c r="AD6" s="10" t="s">
        <v>54</v>
      </c>
      <c r="AE6" s="10"/>
      <c r="AF6" s="10"/>
      <c r="AG6" s="10"/>
      <c r="AH6" s="10"/>
      <c r="AI6" s="10"/>
      <c r="AJ6" s="10"/>
    </row>
    <row r="7" customFormat="false" ht="15" hidden="false" customHeight="false" outlineLevel="0" collapsed="false">
      <c r="A7" s="5" t="s">
        <v>57</v>
      </c>
      <c r="B7" s="12" t="s">
        <v>58</v>
      </c>
      <c r="C7" s="7" t="s">
        <v>59</v>
      </c>
      <c r="D7" s="8" t="n">
        <f aca="false">IF(F7=0,0,E7/F7)</f>
        <v>0</v>
      </c>
      <c r="E7" s="9" t="n">
        <f aca="false">COUNTIF(G7:AJ7,"Done")</f>
        <v>0</v>
      </c>
      <c r="F7" s="9" t="n">
        <f aca="false">30-COUNTIF(G7:AJ7,"N/A")</f>
        <v>14</v>
      </c>
      <c r="G7" s="10" t="s">
        <v>54</v>
      </c>
      <c r="H7" s="10" t="s">
        <v>54</v>
      </c>
      <c r="I7" s="10" t="s">
        <v>54</v>
      </c>
      <c r="J7" s="10"/>
      <c r="K7" s="10"/>
      <c r="L7" s="10"/>
      <c r="M7" s="10"/>
      <c r="N7" s="10"/>
      <c r="O7" s="10"/>
      <c r="P7" s="10" t="s">
        <v>54</v>
      </c>
      <c r="Q7" s="10" t="s">
        <v>54</v>
      </c>
      <c r="R7" s="10" t="s">
        <v>54</v>
      </c>
      <c r="S7" s="10" t="s">
        <v>54</v>
      </c>
      <c r="T7" s="10"/>
      <c r="U7" s="10"/>
      <c r="V7" s="10"/>
      <c r="W7" s="10"/>
      <c r="X7" s="10"/>
      <c r="Y7" s="10" t="s">
        <v>54</v>
      </c>
      <c r="Z7" s="10" t="s">
        <v>54</v>
      </c>
      <c r="AA7" s="10" t="s">
        <v>54</v>
      </c>
      <c r="AB7" s="10" t="s">
        <v>54</v>
      </c>
      <c r="AC7" s="10" t="s">
        <v>54</v>
      </c>
      <c r="AD7" s="10" t="s">
        <v>54</v>
      </c>
      <c r="AE7" s="10" t="s">
        <v>54</v>
      </c>
      <c r="AF7" s="10" t="s">
        <v>54</v>
      </c>
      <c r="AG7" s="10" t="s">
        <v>54</v>
      </c>
      <c r="AH7" s="10"/>
      <c r="AI7" s="10"/>
      <c r="AJ7" s="10"/>
    </row>
    <row r="8" customFormat="false" ht="15" hidden="false" customHeight="false" outlineLevel="0" collapsed="false">
      <c r="A8" s="13" t="s">
        <v>60</v>
      </c>
      <c r="B8" s="14"/>
      <c r="C8" s="14"/>
      <c r="D8" s="15" t="n">
        <f aca="false">IF(F8=0,0,E8/F8)</f>
        <v>0</v>
      </c>
      <c r="E8" s="16" t="n">
        <f aca="false">SUM(E3:E7)</f>
        <v>0</v>
      </c>
      <c r="F8" s="16" t="n">
        <f aca="false">SUM(F3:F7)</f>
        <v>122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10" customFormat="false" ht="15" hidden="false" customHeight="true" outlineLevel="0" collapsed="false">
      <c r="A10" s="17" t="s">
        <v>61</v>
      </c>
      <c r="B10" s="17"/>
      <c r="C10" s="17"/>
      <c r="D10" s="17"/>
      <c r="E10" s="17"/>
      <c r="F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</row>
  </sheetData>
  <mergeCells count="10">
    <mergeCell ref="A1:F1"/>
    <mergeCell ref="G1:I1"/>
    <mergeCell ref="J1:O1"/>
    <mergeCell ref="P1:S1"/>
    <mergeCell ref="T1:X1"/>
    <mergeCell ref="Y1:AA1"/>
    <mergeCell ref="AB1:AD1"/>
    <mergeCell ref="AE1:AG1"/>
    <mergeCell ref="AH1:AJ1"/>
    <mergeCell ref="A10:F12"/>
  </mergeCells>
  <conditionalFormatting sqref="G3:AJ7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Style="stop" operator="between" showDropDown="false" showErrorMessage="false" showInputMessage="false" sqref="G3:AJ7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8" t="s">
        <v>62</v>
      </c>
      <c r="B1" s="18" t="s">
        <v>63</v>
      </c>
      <c r="C1" s="18" t="s">
        <v>64</v>
      </c>
    </row>
    <row r="2" customFormat="false" ht="15" hidden="false" customHeight="false" outlineLevel="0" collapsed="false">
      <c r="A2" s="19" t="s">
        <v>65</v>
      </c>
      <c r="B2" s="20" t="s">
        <v>1</v>
      </c>
      <c r="C2" s="21" t="s">
        <v>66</v>
      </c>
    </row>
    <row r="3" customFormat="false" ht="15" hidden="false" customHeight="false" outlineLevel="0" collapsed="false">
      <c r="A3" s="19" t="s">
        <v>67</v>
      </c>
      <c r="B3" s="20" t="s">
        <v>1</v>
      </c>
      <c r="C3" s="21" t="s">
        <v>68</v>
      </c>
    </row>
    <row r="4" customFormat="false" ht="15" hidden="false" customHeight="false" outlineLevel="0" collapsed="false">
      <c r="A4" s="19" t="s">
        <v>69</v>
      </c>
      <c r="B4" s="20" t="s">
        <v>1</v>
      </c>
      <c r="C4" s="21" t="s">
        <v>70</v>
      </c>
    </row>
    <row r="5" customFormat="false" ht="15" hidden="false" customHeight="false" outlineLevel="0" collapsed="false">
      <c r="A5" s="19" t="s">
        <v>71</v>
      </c>
      <c r="B5" s="20" t="s">
        <v>2</v>
      </c>
      <c r="C5" s="21" t="s">
        <v>72</v>
      </c>
    </row>
    <row r="6" customFormat="false" ht="15" hidden="false" customHeight="false" outlineLevel="0" collapsed="false">
      <c r="A6" s="19" t="s">
        <v>73</v>
      </c>
      <c r="B6" s="20" t="s">
        <v>2</v>
      </c>
      <c r="C6" s="21" t="s">
        <v>74</v>
      </c>
    </row>
    <row r="7" customFormat="false" ht="15" hidden="false" customHeight="false" outlineLevel="0" collapsed="false">
      <c r="A7" s="19" t="s">
        <v>75</v>
      </c>
      <c r="B7" s="20" t="s">
        <v>2</v>
      </c>
      <c r="C7" s="21" t="s">
        <v>76</v>
      </c>
    </row>
    <row r="8" customFormat="false" ht="15" hidden="false" customHeight="false" outlineLevel="0" collapsed="false">
      <c r="A8" s="19" t="s">
        <v>77</v>
      </c>
      <c r="B8" s="20" t="s">
        <v>2</v>
      </c>
      <c r="C8" s="21" t="s">
        <v>78</v>
      </c>
    </row>
    <row r="9" customFormat="false" ht="15" hidden="false" customHeight="false" outlineLevel="0" collapsed="false">
      <c r="A9" s="19" t="s">
        <v>79</v>
      </c>
      <c r="B9" s="20" t="s">
        <v>2</v>
      </c>
      <c r="C9" s="21" t="s">
        <v>80</v>
      </c>
    </row>
    <row r="10" customFormat="false" ht="15" hidden="false" customHeight="false" outlineLevel="0" collapsed="false">
      <c r="A10" s="19" t="s">
        <v>81</v>
      </c>
      <c r="B10" s="20" t="s">
        <v>2</v>
      </c>
      <c r="C10" s="21" t="s">
        <v>82</v>
      </c>
    </row>
    <row r="11" customFormat="false" ht="15" hidden="false" customHeight="false" outlineLevel="0" collapsed="false">
      <c r="A11" s="19" t="s">
        <v>83</v>
      </c>
      <c r="B11" s="20" t="s">
        <v>3</v>
      </c>
      <c r="C11" s="21" t="s">
        <v>84</v>
      </c>
    </row>
    <row r="12" customFormat="false" ht="15" hidden="false" customHeight="false" outlineLevel="0" collapsed="false">
      <c r="A12" s="19" t="s">
        <v>85</v>
      </c>
      <c r="B12" s="20" t="s">
        <v>3</v>
      </c>
      <c r="C12" s="21" t="s">
        <v>86</v>
      </c>
    </row>
    <row r="13" customFormat="false" ht="15" hidden="false" customHeight="false" outlineLevel="0" collapsed="false">
      <c r="A13" s="19" t="s">
        <v>87</v>
      </c>
      <c r="B13" s="20" t="s">
        <v>3</v>
      </c>
      <c r="C13" s="21" t="s">
        <v>88</v>
      </c>
    </row>
    <row r="14" customFormat="false" ht="15" hidden="false" customHeight="false" outlineLevel="0" collapsed="false">
      <c r="A14" s="19" t="s">
        <v>89</v>
      </c>
      <c r="B14" s="20" t="s">
        <v>3</v>
      </c>
      <c r="C14" s="21" t="s">
        <v>90</v>
      </c>
    </row>
    <row r="15" customFormat="false" ht="15" hidden="false" customHeight="false" outlineLevel="0" collapsed="false">
      <c r="A15" s="19" t="s">
        <v>91</v>
      </c>
      <c r="B15" s="20" t="s">
        <v>4</v>
      </c>
      <c r="C15" s="21" t="s">
        <v>92</v>
      </c>
    </row>
    <row r="16" customFormat="false" ht="15" hidden="false" customHeight="false" outlineLevel="0" collapsed="false">
      <c r="A16" s="19" t="s">
        <v>93</v>
      </c>
      <c r="B16" s="20" t="s">
        <v>4</v>
      </c>
      <c r="C16" s="21" t="s">
        <v>94</v>
      </c>
    </row>
    <row r="17" customFormat="false" ht="15" hidden="false" customHeight="false" outlineLevel="0" collapsed="false">
      <c r="A17" s="19" t="s">
        <v>95</v>
      </c>
      <c r="B17" s="20" t="s">
        <v>4</v>
      </c>
      <c r="C17" s="21" t="s">
        <v>96</v>
      </c>
    </row>
    <row r="18" customFormat="false" ht="15" hidden="false" customHeight="false" outlineLevel="0" collapsed="false">
      <c r="A18" s="19" t="s">
        <v>97</v>
      </c>
      <c r="B18" s="20" t="s">
        <v>4</v>
      </c>
      <c r="C18" s="21" t="s">
        <v>98</v>
      </c>
    </row>
    <row r="19" customFormat="false" ht="15" hidden="false" customHeight="false" outlineLevel="0" collapsed="false">
      <c r="A19" s="19" t="s">
        <v>99</v>
      </c>
      <c r="B19" s="20" t="s">
        <v>4</v>
      </c>
      <c r="C19" s="21" t="s">
        <v>100</v>
      </c>
    </row>
    <row r="20" customFormat="false" ht="15" hidden="false" customHeight="false" outlineLevel="0" collapsed="false">
      <c r="A20" s="19" t="s">
        <v>101</v>
      </c>
      <c r="B20" s="20" t="s">
        <v>5</v>
      </c>
      <c r="C20" s="21" t="s">
        <v>102</v>
      </c>
    </row>
    <row r="21" customFormat="false" ht="15" hidden="false" customHeight="false" outlineLevel="0" collapsed="false">
      <c r="A21" s="19" t="s">
        <v>103</v>
      </c>
      <c r="B21" s="20" t="s">
        <v>5</v>
      </c>
      <c r="C21" s="21" t="s">
        <v>104</v>
      </c>
    </row>
    <row r="22" customFormat="false" ht="15" hidden="false" customHeight="false" outlineLevel="0" collapsed="false">
      <c r="A22" s="19" t="s">
        <v>105</v>
      </c>
      <c r="B22" s="20" t="s">
        <v>5</v>
      </c>
      <c r="C22" s="21" t="s">
        <v>106</v>
      </c>
    </row>
    <row r="23" customFormat="false" ht="15" hidden="false" customHeight="false" outlineLevel="0" collapsed="false">
      <c r="A23" s="19" t="s">
        <v>107</v>
      </c>
      <c r="B23" s="20" t="s">
        <v>6</v>
      </c>
      <c r="C23" s="21" t="s">
        <v>108</v>
      </c>
    </row>
    <row r="24" customFormat="false" ht="15" hidden="false" customHeight="false" outlineLevel="0" collapsed="false">
      <c r="A24" s="19" t="s">
        <v>109</v>
      </c>
      <c r="B24" s="20" t="s">
        <v>6</v>
      </c>
      <c r="C24" s="21" t="s">
        <v>110</v>
      </c>
    </row>
    <row r="25" customFormat="false" ht="15" hidden="false" customHeight="false" outlineLevel="0" collapsed="false">
      <c r="A25" s="19" t="s">
        <v>111</v>
      </c>
      <c r="B25" s="20" t="s">
        <v>6</v>
      </c>
      <c r="C25" s="21" t="s">
        <v>112</v>
      </c>
    </row>
    <row r="26" customFormat="false" ht="15" hidden="false" customHeight="false" outlineLevel="0" collapsed="false">
      <c r="A26" s="19" t="s">
        <v>113</v>
      </c>
      <c r="B26" s="20" t="s">
        <v>7</v>
      </c>
      <c r="C26" s="21" t="s">
        <v>114</v>
      </c>
    </row>
    <row r="27" customFormat="false" ht="23.85" hidden="false" customHeight="false" outlineLevel="0" collapsed="false">
      <c r="A27" s="19" t="s">
        <v>115</v>
      </c>
      <c r="B27" s="20" t="s">
        <v>7</v>
      </c>
      <c r="C27" s="21" t="s">
        <v>116</v>
      </c>
    </row>
    <row r="28" customFormat="false" ht="15" hidden="false" customHeight="false" outlineLevel="0" collapsed="false">
      <c r="A28" s="19" t="s">
        <v>117</v>
      </c>
      <c r="B28" s="20" t="s">
        <v>7</v>
      </c>
      <c r="C28" s="21" t="s">
        <v>118</v>
      </c>
    </row>
    <row r="29" customFormat="false" ht="15" hidden="false" customHeight="false" outlineLevel="0" collapsed="false">
      <c r="A29" s="19" t="s">
        <v>119</v>
      </c>
      <c r="B29" s="20" t="s">
        <v>8</v>
      </c>
      <c r="C29" s="21" t="s">
        <v>120</v>
      </c>
    </row>
    <row r="30" customFormat="false" ht="23.85" hidden="false" customHeight="false" outlineLevel="0" collapsed="false">
      <c r="A30" s="19" t="s">
        <v>121</v>
      </c>
      <c r="B30" s="20" t="s">
        <v>8</v>
      </c>
      <c r="C30" s="21" t="s">
        <v>122</v>
      </c>
    </row>
    <row r="31" customFormat="false" ht="15" hidden="false" customHeight="false" outlineLevel="0" collapsed="false">
      <c r="A31" s="19" t="s">
        <v>123</v>
      </c>
      <c r="B31" s="20" t="s">
        <v>8</v>
      </c>
      <c r="C31" s="2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2026-07-08T14:56:52Z</dcterms:created>
  <dc:creator>openpyxl</dc:creator>
  <dc:description/>
  <dc:language>en-US</dc:language>
  <cp:lastModifiedBy/>
  <dcterms:modified xsi:type="dcterms:W3CDTF">2026-07-08T14:56:52Z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